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Entry" sheetId="1" r:id="rId5"/>
    <sheet state="visible" name="Summary" sheetId="2" r:id="rId6"/>
    <sheet state="visible" name="Guide" sheetId="3" r:id="rId7"/>
    <sheet state="visible" name="Intakes" sheetId="4" r:id="rId8"/>
  </sheets>
  <definedNames/>
  <calcPr/>
</workbook>
</file>

<file path=xl/sharedStrings.xml><?xml version="1.0" encoding="utf-8"?>
<sst xmlns="http://schemas.openxmlformats.org/spreadsheetml/2006/main" count="285" uniqueCount="117">
  <si>
    <t>Personal Wellbeing Index — Client Outcome Tracker</t>
  </si>
  <si>
    <t>Intake #</t>
  </si>
  <si>
    <t>Client Name</t>
  </si>
  <si>
    <t>Cohort / Program</t>
  </si>
  <si>
    <t>Life Overall</t>
  </si>
  <si>
    <t>Standard of Living</t>
  </si>
  <si>
    <t>Health</t>
  </si>
  <si>
    <t>Achieving in Life</t>
  </si>
  <si>
    <t>Personal Relationships</t>
  </si>
  <si>
    <t>Safety</t>
  </si>
  <si>
    <t>Community</t>
  </si>
  <si>
    <t>Future Security</t>
  </si>
  <si>
    <t>Financial Worry</t>
  </si>
  <si>
    <t>Self-Confidence</t>
  </si>
  <si>
    <t>Voice &amp; Agency</t>
  </si>
  <si>
    <t>Work Readiness</t>
  </si>
  <si>
    <t>Career Confidence</t>
  </si>
  <si>
    <t>Skills Awareness</t>
  </si>
  <si>
    <t>Baseline</t>
  </si>
  <si>
    <t>3 Months</t>
  </si>
  <si>
    <t>6 Months</t>
  </si>
  <si>
    <t>↓ Scale / Response Key</t>
  </si>
  <si>
    <t>0–10</t>
  </si>
  <si>
    <t>1=Great deal  2=Great extent  3=A little  4=Don't worry  5=Don't know</t>
  </si>
  <si>
    <t>1=Shame/embarrassed  →  5=Confident in myself</t>
  </si>
  <si>
    <t>1=No voice, nobody listens  →  5=Can speak out, people listen</t>
  </si>
  <si>
    <t>1=Strongly disagree  →  5=Strongly agree</t>
  </si>
  <si>
    <t>↓ Full Question</t>
  </si>
  <si>
    <t>How satisfied are you with your life as a whole?</t>
  </si>
  <si>
    <t>How satisfied are you with your standard of living?</t>
  </si>
  <si>
    <t>How satisfied are you with your health?</t>
  </si>
  <si>
    <t>How satisfied are you with what you are achieving in life?</t>
  </si>
  <si>
    <t>How satisfied are you with your personal relationships?</t>
  </si>
  <si>
    <t>How satisfied are you with how safe you feel?</t>
  </si>
  <si>
    <t>How satisfied are you with feeling part of your community?</t>
  </si>
  <si>
    <t>How satisfied are you with your future security?</t>
  </si>
  <si>
    <t>To what extent, if at all, do you worry about your financial situation?</t>
  </si>
  <si>
    <t>How do you usually feel about yourself? (Shame → Confidence)</t>
  </si>
  <si>
    <t>How do you usually feel about expressing yourself?</t>
  </si>
  <si>
    <t>I feel ready and willing to work</t>
  </si>
  <si>
    <t>Feeling Work-Ready: Confidence in Career Options — On a scale of 1–10, how confident do you feel about the career paths available to you?</t>
  </si>
  <si>
    <t>Feeling Work-Ready: Understanding Your Skills — On a scale of 1–10, how well do you understand how your skills can be applied to future jobs or training opportunities?</t>
  </si>
  <si>
    <t>Sherrybe Raymundo</t>
  </si>
  <si>
    <t>WWE</t>
  </si>
  <si>
    <t>Joelene Sara</t>
  </si>
  <si>
    <t>Roshini McKay</t>
  </si>
  <si>
    <t>Ann Marie Miskos</t>
  </si>
  <si>
    <t>Marsha Gatt</t>
  </si>
  <si>
    <t>Jianing Qin</t>
  </si>
  <si>
    <t>Ashlee Sciortino</t>
  </si>
  <si>
    <t>Samira Sun</t>
  </si>
  <si>
    <t>Sarah Sharpe</t>
  </si>
  <si>
    <t>Tiahna Wilson</t>
  </si>
  <si>
    <t>Carli Tahane</t>
  </si>
  <si>
    <t>-</t>
  </si>
  <si>
    <t>Rachel Cowie</t>
  </si>
  <si>
    <t>Vaidehi Kumar</t>
  </si>
  <si>
    <t>Farzana Sultana</t>
  </si>
  <si>
    <t xml:space="preserve">Rose Nakisanze </t>
  </si>
  <si>
    <t>Stephanie Abbott</t>
  </si>
  <si>
    <t xml:space="preserve">Salome Sulu </t>
  </si>
  <si>
    <t>Joy Choi</t>
  </si>
  <si>
    <t>Iweta Davis</t>
  </si>
  <si>
    <t>Kathy Te Nuku</t>
  </si>
  <si>
    <t>Shinta Dwihartianti</t>
  </si>
  <si>
    <t>Carlie Soussa</t>
  </si>
  <si>
    <t>Claire Thew</t>
  </si>
  <si>
    <t>Julia Lane</t>
  </si>
  <si>
    <t>Kaysha Fountain</t>
  </si>
  <si>
    <t>Lesley Loxley</t>
  </si>
  <si>
    <t>Lilmani Chaudhary</t>
  </si>
  <si>
    <t>Nirmala Nadia</t>
  </si>
  <si>
    <t>Sally Rooke</t>
  </si>
  <si>
    <t>PWI Summary — Average Scores by Time Point</t>
  </si>
  <si>
    <t>Question / Domain</t>
  </si>
  <si>
    <t>Full Question</t>
  </si>
  <si>
    <t>Scale</t>
  </si>
  <si>
    <t>Avg — Baseline</t>
  </si>
  <si>
    <t>Avg — 3 Months</t>
  </si>
  <si>
    <t>Avg — 6 Months</t>
  </si>
  <si>
    <t>Change (B→3mo)</t>
  </si>
  <si>
    <t>Change (B→6mo)</t>
  </si>
  <si>
    <t>Averages below are calculated from the Data Entry sheet (rows 6–55). Blank cells are excluded. Add more rows on Data Entry as needed and update formulas.</t>
  </si>
  <si>
    <t>How to Use This Tracker</t>
  </si>
  <si>
    <t>Data Entry sheet</t>
  </si>
  <si>
    <t>Enter one row per client. Use the Intake # as your unique identifier. Client Name is optional if de-identified data is required.</t>
  </si>
  <si>
    <t>Record the program, service type, or any grouper you need. You can filter/sort this column to view cohorts separately.</t>
  </si>
  <si>
    <t>Time Points</t>
  </si>
  <si>
    <t>Enter scores at Baseline (intake), 3 Months, and 6 Months. Leave blank if data is not yet collected — averages on the Summary sheet will still calculate correctly.</t>
  </si>
  <si>
    <t>PWI Questions (Q1–Q8)</t>
  </si>
  <si>
    <t>Scored 0–10.  0 = No satisfaction at all.  10 = Completely satisfied.</t>
  </si>
  <si>
    <t>Ordinal scale: 1 = Worry a great deal  →  4 = Don't worry at all.  5 = Don't know (treat as missing in analysis).</t>
  </si>
  <si>
    <t>Self-Confidence &amp; Voice</t>
  </si>
  <si>
    <t>Both use a 1–5 Likert scale. Higher scores = more positive self-perception.</t>
  </si>
  <si>
    <t>1–5 Likert.  1 = Not at all ready  →  5 = Fully ready and willing.</t>
  </si>
  <si>
    <t>Summary sheet</t>
  </si>
  <si>
    <t>Auto-calculates group averages and change scores. Review these to track cohort-level outcomes over time.</t>
  </si>
  <si>
    <t>Adding more rows</t>
  </si>
  <si>
    <t>The Data Entry sheet has 50 rows. To add more, copy the last data row downward. Then update the Summary formulas to extend the range (e.g. change $55 to the new last row).</t>
  </si>
  <si>
    <t>Intake No</t>
  </si>
  <si>
    <t>Name</t>
  </si>
  <si>
    <t xml:space="preserve">Completed Program </t>
  </si>
  <si>
    <t>Employment
Elsewhere</t>
  </si>
  <si>
    <t>Darlo</t>
  </si>
  <si>
    <t>Jessie Clark</t>
  </si>
  <si>
    <t>Beata Fu</t>
  </si>
  <si>
    <t>Arianna Mulligan</t>
  </si>
  <si>
    <t>Branda Lee Elliott</t>
  </si>
  <si>
    <t>Jhassoury Hinostoza</t>
  </si>
  <si>
    <t>Regina Juach</t>
  </si>
  <si>
    <t>Angelina Robinson</t>
  </si>
  <si>
    <t>Kylie Griffiths</t>
  </si>
  <si>
    <t>Sarah Beta</t>
  </si>
  <si>
    <t>Melinda McMahon</t>
  </si>
  <si>
    <t>Tylah Mace</t>
  </si>
  <si>
    <t>Murvet Ozkan</t>
  </si>
  <si>
    <t>Alana Winters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</si>
</sst>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5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9.0"/>
      <color rgb="FFFFFFFF"/>
      <name val="Arial"/>
    </font>
    <font>
      <sz val="11.0"/>
      <color theme="1"/>
      <name val="Calibri"/>
    </font>
    <font>
      <i/>
      <sz val="8.0"/>
      <color rgb="FF595959"/>
      <name val="Arial"/>
    </font>
    <font>
      <i/>
      <sz val="8.0"/>
      <color rgb="FF000000"/>
      <name val="Arial"/>
    </font>
    <font>
      <sz val="10.0"/>
      <color rgb="FF000000"/>
      <name val="Arial"/>
    </font>
    <font>
      <b/>
      <sz val="13.0"/>
      <color rgb="FFFFFFFF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sz val="9.0"/>
      <color rgb="FF000000"/>
      <name val="Arial"/>
    </font>
    <font>
      <i/>
      <sz val="8.0"/>
      <color theme="1"/>
      <name val="Arial"/>
    </font>
    <font>
      <b/>
      <sz val="10.0"/>
      <color rgb="FF000000"/>
      <name val="Arial"/>
    </font>
    <font>
      <color theme="1"/>
      <name val="Calibri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1F6B75"/>
        <bgColor rgb="FF1F6B75"/>
      </patternFill>
    </fill>
    <fill>
      <patternFill patternType="solid">
        <fgColor rgb="FFC55A11"/>
        <bgColor rgb="FFC55A11"/>
      </patternFill>
    </fill>
    <fill>
      <patternFill patternType="solid">
        <fgColor rgb="FF595959"/>
        <bgColor rgb="FF595959"/>
      </patternFill>
    </fill>
    <fill>
      <patternFill patternType="solid">
        <fgColor rgb="FF375623"/>
        <bgColor rgb="FF375623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D6EFF1"/>
        <bgColor rgb="FFD6EFF1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EEF2FA"/>
        <bgColor rgb="FFEEF2FA"/>
      </patternFill>
    </fill>
    <fill>
      <patternFill patternType="solid">
        <fgColor rgb="FFFFFFFF"/>
        <bgColor rgb="FFFFFFFF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5" fillId="3" fontId="3" numFmtId="0" xfId="0" applyAlignment="1" applyBorder="1" applyFill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5" fillId="4" fontId="3" numFmtId="0" xfId="0" applyAlignment="1" applyBorder="1" applyFill="1" applyFont="1">
      <alignment horizontal="center" shrinkToFit="0" vertical="center" wrapText="1"/>
    </xf>
    <xf borderId="5" fillId="5" fontId="3" numFmtId="0" xfId="0" applyAlignment="1" applyBorder="1" applyFill="1" applyFont="1">
      <alignment horizontal="center" shrinkToFit="0" vertical="center" wrapText="1"/>
    </xf>
    <xf borderId="5" fillId="6" fontId="3" numFmtId="0" xfId="0" applyAlignment="1" applyBorder="1" applyFill="1" applyFont="1">
      <alignment horizontal="center" shrinkToFit="0" vertical="center" wrapText="1"/>
    </xf>
    <xf borderId="5" fillId="7" fontId="3" numFmtId="0" xfId="0" applyAlignment="1" applyBorder="1" applyFill="1" applyFont="1">
      <alignment horizontal="center" shrinkToFit="0" vertical="center" wrapText="1"/>
    </xf>
    <xf borderId="4" fillId="2" fontId="4" numFmtId="0" xfId="0" applyAlignment="1" applyBorder="1" applyFont="1">
      <alignment shrinkToFit="0" vertical="bottom" wrapText="0"/>
    </xf>
    <xf borderId="4" fillId="3" fontId="3" numFmtId="0" xfId="0" applyAlignment="1" applyBorder="1" applyFont="1">
      <alignment horizontal="center" shrinkToFit="0" vertical="center" wrapText="1"/>
    </xf>
    <xf borderId="4" fillId="4" fontId="3" numFmtId="0" xfId="0" applyAlignment="1" applyBorder="1" applyFont="1">
      <alignment horizontal="center" shrinkToFit="0" vertical="center" wrapText="1"/>
    </xf>
    <xf borderId="4" fillId="5" fontId="3" numFmtId="0" xfId="0" applyAlignment="1" applyBorder="1" applyFont="1">
      <alignment horizontal="center" shrinkToFit="0" vertical="center" wrapText="1"/>
    </xf>
    <xf borderId="4" fillId="6" fontId="3" numFmtId="0" xfId="0" applyAlignment="1" applyBorder="1" applyFont="1">
      <alignment horizontal="center" shrinkToFit="0" vertical="center" wrapText="1"/>
    </xf>
    <xf borderId="4" fillId="7" fontId="3" numFmtId="0" xfId="0" applyAlignment="1" applyBorder="1" applyFont="1">
      <alignment horizontal="center" shrinkToFit="0" vertical="center" wrapText="1"/>
    </xf>
    <xf borderId="5" fillId="8" fontId="5" numFmtId="0" xfId="0" applyAlignment="1" applyBorder="1" applyFill="1" applyFont="1">
      <alignment horizontal="left" shrinkToFit="0" vertical="center" wrapText="1"/>
    </xf>
    <xf borderId="8" fillId="0" fontId="2" numFmtId="0" xfId="0" applyBorder="1" applyFont="1"/>
    <xf borderId="5" fillId="9" fontId="6" numFmtId="0" xfId="0" applyAlignment="1" applyBorder="1" applyFill="1" applyFont="1">
      <alignment horizontal="center" shrinkToFit="0" vertical="center" wrapText="1"/>
    </xf>
    <xf borderId="5" fillId="10" fontId="6" numFmtId="0" xfId="0" applyAlignment="1" applyBorder="1" applyFill="1" applyFont="1">
      <alignment horizontal="center" shrinkToFit="0" vertical="center" wrapText="1"/>
    </xf>
    <xf borderId="5" fillId="11" fontId="6" numFmtId="0" xfId="0" applyAlignment="1" applyBorder="1" applyFill="1" applyFont="1">
      <alignment horizontal="center" shrinkToFit="0" vertical="center" wrapText="1"/>
    </xf>
    <xf borderId="5" fillId="8" fontId="6" numFmtId="0" xfId="0" applyAlignment="1" applyBorder="1" applyFont="1">
      <alignment horizontal="center" shrinkToFit="0" vertical="center" wrapText="1"/>
    </xf>
    <xf borderId="5" fillId="12" fontId="6" numFmtId="0" xfId="0" applyAlignment="1" applyBorder="1" applyFill="1" applyFont="1">
      <alignment horizontal="center" shrinkToFit="0" vertical="center" wrapText="1"/>
    </xf>
    <xf borderId="5" fillId="9" fontId="6" numFmtId="0" xfId="0" applyAlignment="1" applyBorder="1" applyFont="1">
      <alignment horizontal="left" shrinkToFit="0" vertical="center" wrapText="1"/>
    </xf>
    <xf borderId="5" fillId="10" fontId="6" numFmtId="0" xfId="0" applyAlignment="1" applyBorder="1" applyFont="1">
      <alignment horizontal="left" shrinkToFit="0" vertical="center" wrapText="1"/>
    </xf>
    <xf borderId="5" fillId="11" fontId="6" numFmtId="0" xfId="0" applyAlignment="1" applyBorder="1" applyFont="1">
      <alignment horizontal="left" shrinkToFit="0" vertical="center" wrapText="1"/>
    </xf>
    <xf borderId="5" fillId="8" fontId="6" numFmtId="0" xfId="0" applyAlignment="1" applyBorder="1" applyFont="1">
      <alignment horizontal="left" shrinkToFit="0" vertical="center" wrapText="1"/>
    </xf>
    <xf borderId="5" fillId="12" fontId="6" numFmtId="0" xfId="0" applyAlignment="1" applyBorder="1" applyFont="1">
      <alignment horizontal="left" shrinkToFit="0" vertical="center" wrapText="1"/>
    </xf>
    <xf borderId="4" fillId="13" fontId="7" numFmtId="0" xfId="0" applyAlignment="1" applyBorder="1" applyFill="1" applyFont="1">
      <alignment horizontal="left" readingOrder="0" shrinkToFit="0" vertical="center" wrapText="1"/>
    </xf>
    <xf borderId="4" fillId="9" fontId="7" numFmtId="0" xfId="0" applyAlignment="1" applyBorder="1" applyFont="1">
      <alignment horizontal="center" readingOrder="0" shrinkToFit="0" vertical="center" wrapText="1"/>
    </xf>
    <xf borderId="4" fillId="10" fontId="7" numFmtId="0" xfId="0" applyAlignment="1" applyBorder="1" applyFont="1">
      <alignment horizontal="center" readingOrder="0" shrinkToFit="0" vertical="center" wrapText="1"/>
    </xf>
    <xf borderId="4" fillId="11" fontId="7" numFmtId="0" xfId="0" applyAlignment="1" applyBorder="1" applyFont="1">
      <alignment horizontal="center" readingOrder="0" shrinkToFit="0" vertical="center" wrapText="1"/>
    </xf>
    <xf borderId="4" fillId="8" fontId="7" numFmtId="0" xfId="0" applyAlignment="1" applyBorder="1" applyFont="1">
      <alignment horizontal="center" readingOrder="0" shrinkToFit="0" vertical="center" wrapText="1"/>
    </xf>
    <xf borderId="4" fillId="12" fontId="7" numFmtId="0" xfId="0" applyAlignment="1" applyBorder="1" applyFont="1">
      <alignment horizontal="center" readingOrder="0" shrinkToFit="0" vertical="center" wrapText="1"/>
    </xf>
    <xf borderId="4" fillId="9" fontId="7" numFmtId="0" xfId="0" applyAlignment="1" applyBorder="1" applyFont="1">
      <alignment horizontal="center" shrinkToFit="0" vertical="center" wrapText="1"/>
    </xf>
    <xf borderId="4" fillId="10" fontId="7" numFmtId="0" xfId="0" applyAlignment="1" applyBorder="1" applyFont="1">
      <alignment horizontal="center" shrinkToFit="0" vertical="center" wrapText="1"/>
    </xf>
    <xf borderId="4" fillId="14" fontId="7" numFmtId="0" xfId="0" applyAlignment="1" applyBorder="1" applyFill="1" applyFont="1">
      <alignment horizontal="left" readingOrder="0" shrinkToFit="0" vertical="center" wrapText="1"/>
    </xf>
    <xf borderId="4" fillId="14" fontId="7" numFmtId="0" xfId="0" applyAlignment="1" applyBorder="1" applyFont="1">
      <alignment horizontal="center" readingOrder="0" shrinkToFit="0" vertical="center" wrapText="1"/>
    </xf>
    <xf borderId="4" fillId="11" fontId="7" numFmtId="0" xfId="0" applyAlignment="1" applyBorder="1" applyFont="1">
      <alignment horizontal="center" shrinkToFit="0" vertical="center" wrapText="1"/>
    </xf>
    <xf borderId="4" fillId="8" fontId="7" numFmtId="0" xfId="0" applyAlignment="1" applyBorder="1" applyFont="1">
      <alignment horizontal="center" shrinkToFit="0" vertical="center" wrapText="1"/>
    </xf>
    <xf borderId="4" fillId="12" fontId="7" numFmtId="0" xfId="0" applyAlignment="1" applyBorder="1" applyFont="1">
      <alignment horizontal="center" shrinkToFit="0" vertical="center" wrapText="1"/>
    </xf>
    <xf borderId="4" fillId="14" fontId="7" numFmtId="0" xfId="0" applyAlignment="1" applyBorder="1" applyFont="1">
      <alignment horizontal="center" shrinkToFit="0" vertical="center" wrapText="1"/>
    </xf>
    <xf borderId="4" fillId="14" fontId="7" numFmtId="0" xfId="0" applyAlignment="1" applyBorder="1" applyFont="1">
      <alignment horizontal="left" shrinkToFit="0" vertical="center" wrapText="1"/>
    </xf>
    <xf borderId="4" fillId="13" fontId="7" numFmtId="0" xfId="0" applyAlignment="1" applyBorder="1" applyFont="1">
      <alignment horizontal="left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4" fillId="2" fontId="9" numFmtId="0" xfId="0" applyAlignment="1" applyBorder="1" applyFont="1">
      <alignment horizontal="center" shrinkToFit="0" vertical="center" wrapText="1"/>
    </xf>
    <xf borderId="4" fillId="3" fontId="9" numFmtId="0" xfId="0" applyAlignment="1" applyBorder="1" applyFont="1">
      <alignment horizontal="center" shrinkToFit="0" vertical="center" wrapText="1"/>
    </xf>
    <xf borderId="4" fillId="4" fontId="9" numFmtId="0" xfId="0" applyAlignment="1" applyBorder="1" applyFont="1">
      <alignment horizontal="center" shrinkToFit="0" vertical="center" wrapText="1"/>
    </xf>
    <xf borderId="4" fillId="7" fontId="9" numFmtId="0" xfId="0" applyAlignment="1" applyBorder="1" applyFont="1">
      <alignment horizontal="center" shrinkToFit="0" vertical="center" wrapText="1"/>
    </xf>
    <xf borderId="4" fillId="6" fontId="9" numFmtId="0" xfId="0" applyAlignment="1" applyBorder="1" applyFont="1">
      <alignment horizontal="center" shrinkToFit="0" vertical="center" wrapText="1"/>
    </xf>
    <xf borderId="4" fillId="9" fontId="10" numFmtId="0" xfId="0" applyAlignment="1" applyBorder="1" applyFont="1">
      <alignment horizontal="left" shrinkToFit="0" vertical="center" wrapText="1"/>
    </xf>
    <xf borderId="4" fillId="9" fontId="11" numFmtId="0" xfId="0" applyAlignment="1" applyBorder="1" applyFont="1">
      <alignment horizontal="left" shrinkToFit="0" vertical="center" wrapText="1"/>
    </xf>
    <xf borderId="4" fillId="9" fontId="12" numFmtId="0" xfId="0" applyAlignment="1" applyBorder="1" applyFont="1">
      <alignment horizontal="center" shrinkToFit="0" vertical="center" wrapText="1"/>
    </xf>
    <xf borderId="4" fillId="9" fontId="13" numFmtId="164" xfId="0" applyAlignment="1" applyBorder="1" applyFont="1" applyNumberFormat="1">
      <alignment horizontal="center" shrinkToFit="0" vertical="center" wrapText="1"/>
    </xf>
    <xf borderId="4" fillId="14" fontId="10" numFmtId="0" xfId="0" applyAlignment="1" applyBorder="1" applyFont="1">
      <alignment horizontal="left" shrinkToFit="0" vertical="center" wrapText="1"/>
    </xf>
    <xf borderId="4" fillId="14" fontId="11" numFmtId="0" xfId="0" applyAlignment="1" applyBorder="1" applyFont="1">
      <alignment horizontal="left" shrinkToFit="0" vertical="center" wrapText="1"/>
    </xf>
    <xf borderId="4" fillId="14" fontId="12" numFmtId="0" xfId="0" applyAlignment="1" applyBorder="1" applyFont="1">
      <alignment horizontal="center" shrinkToFit="0" vertical="center" wrapText="1"/>
    </xf>
    <xf borderId="4" fillId="14" fontId="13" numFmtId="164" xfId="0" applyAlignment="1" applyBorder="1" applyFont="1" applyNumberFormat="1">
      <alignment horizontal="center" shrinkToFit="0" vertical="center" wrapText="1"/>
    </xf>
    <xf borderId="4" fillId="9" fontId="10" numFmtId="0" xfId="0" applyAlignment="1" applyBorder="1" applyFont="1">
      <alignment horizontal="left" shrinkToFit="0" vertical="top" wrapText="1"/>
    </xf>
    <xf borderId="4" fillId="9" fontId="7" numFmtId="0" xfId="0" applyAlignment="1" applyBorder="1" applyFont="1">
      <alignment horizontal="left" shrinkToFit="0" vertical="top" wrapText="1"/>
    </xf>
    <xf borderId="4" fillId="14" fontId="10" numFmtId="0" xfId="0" applyAlignment="1" applyBorder="1" applyFont="1">
      <alignment horizontal="left" shrinkToFit="0" vertical="top" wrapText="1"/>
    </xf>
    <xf borderId="4" fillId="14" fontId="7" numFmtId="0" xfId="0" applyAlignment="1" applyBorder="1" applyFont="1">
      <alignment horizontal="left" shrinkToFit="0" vertical="top" wrapText="1"/>
    </xf>
    <xf borderId="0" fillId="13" fontId="7" numFmtId="0" xfId="0" applyAlignment="1" applyFont="1">
      <alignment horizontal="left" readingOrder="0" shrinkToFit="0" vertical="center" wrapText="1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10.0"/>
    <col customWidth="1" hidden="1" min="2" max="2" width="20.0"/>
    <col customWidth="1" min="3" max="3" width="20.0"/>
    <col customWidth="1" min="4" max="45" width="11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3"/>
    </row>
    <row r="2" ht="39.75" customHeight="1">
      <c r="A2" s="4" t="s">
        <v>1</v>
      </c>
      <c r="B2" s="4" t="s">
        <v>2</v>
      </c>
      <c r="C2" s="4" t="s">
        <v>3</v>
      </c>
      <c r="D2" s="5" t="s">
        <v>4</v>
      </c>
      <c r="E2" s="6"/>
      <c r="F2" s="7"/>
      <c r="G2" s="8" t="s">
        <v>5</v>
      </c>
      <c r="H2" s="6"/>
      <c r="I2" s="7"/>
      <c r="J2" s="5" t="s">
        <v>6</v>
      </c>
      <c r="K2" s="6"/>
      <c r="L2" s="7"/>
      <c r="M2" s="8" t="s">
        <v>7</v>
      </c>
      <c r="N2" s="6"/>
      <c r="O2" s="7"/>
      <c r="P2" s="5" t="s">
        <v>8</v>
      </c>
      <c r="Q2" s="6"/>
      <c r="R2" s="7"/>
      <c r="S2" s="8" t="s">
        <v>9</v>
      </c>
      <c r="T2" s="6"/>
      <c r="U2" s="7"/>
      <c r="V2" s="5" t="s">
        <v>10</v>
      </c>
      <c r="W2" s="6"/>
      <c r="X2" s="7"/>
      <c r="Y2" s="8" t="s">
        <v>11</v>
      </c>
      <c r="Z2" s="6"/>
      <c r="AA2" s="7"/>
      <c r="AB2" s="9" t="s">
        <v>12</v>
      </c>
      <c r="AC2" s="6"/>
      <c r="AD2" s="7"/>
      <c r="AE2" s="10" t="s">
        <v>13</v>
      </c>
      <c r="AF2" s="6"/>
      <c r="AG2" s="7"/>
      <c r="AH2" s="10" t="s">
        <v>14</v>
      </c>
      <c r="AI2" s="6"/>
      <c r="AJ2" s="7"/>
      <c r="AK2" s="11" t="s">
        <v>15</v>
      </c>
      <c r="AL2" s="6"/>
      <c r="AM2" s="7"/>
      <c r="AN2" s="5" t="s">
        <v>16</v>
      </c>
      <c r="AO2" s="6"/>
      <c r="AP2" s="7"/>
      <c r="AQ2" s="8" t="s">
        <v>17</v>
      </c>
      <c r="AR2" s="6"/>
      <c r="AS2" s="7"/>
    </row>
    <row r="3" ht="36.0" customHeight="1">
      <c r="A3" s="12"/>
      <c r="B3" s="12"/>
      <c r="C3" s="12"/>
      <c r="D3" s="13" t="s">
        <v>18</v>
      </c>
      <c r="E3" s="13" t="s">
        <v>19</v>
      </c>
      <c r="F3" s="13" t="s">
        <v>20</v>
      </c>
      <c r="G3" s="14" t="s">
        <v>18</v>
      </c>
      <c r="H3" s="14" t="s">
        <v>19</v>
      </c>
      <c r="I3" s="14" t="s">
        <v>20</v>
      </c>
      <c r="J3" s="13" t="s">
        <v>18</v>
      </c>
      <c r="K3" s="13" t="s">
        <v>19</v>
      </c>
      <c r="L3" s="13" t="s">
        <v>20</v>
      </c>
      <c r="M3" s="14" t="s">
        <v>18</v>
      </c>
      <c r="N3" s="14" t="s">
        <v>19</v>
      </c>
      <c r="O3" s="14" t="s">
        <v>20</v>
      </c>
      <c r="P3" s="13" t="s">
        <v>18</v>
      </c>
      <c r="Q3" s="13" t="s">
        <v>19</v>
      </c>
      <c r="R3" s="13" t="s">
        <v>20</v>
      </c>
      <c r="S3" s="14" t="s">
        <v>18</v>
      </c>
      <c r="T3" s="14" t="s">
        <v>19</v>
      </c>
      <c r="U3" s="14" t="s">
        <v>20</v>
      </c>
      <c r="V3" s="13" t="s">
        <v>18</v>
      </c>
      <c r="W3" s="13" t="s">
        <v>19</v>
      </c>
      <c r="X3" s="13" t="s">
        <v>20</v>
      </c>
      <c r="Y3" s="14" t="s">
        <v>18</v>
      </c>
      <c r="Z3" s="14" t="s">
        <v>19</v>
      </c>
      <c r="AA3" s="14" t="s">
        <v>20</v>
      </c>
      <c r="AB3" s="15" t="s">
        <v>18</v>
      </c>
      <c r="AC3" s="15" t="s">
        <v>19</v>
      </c>
      <c r="AD3" s="15" t="s">
        <v>20</v>
      </c>
      <c r="AE3" s="16" t="s">
        <v>18</v>
      </c>
      <c r="AF3" s="16" t="s">
        <v>19</v>
      </c>
      <c r="AG3" s="16" t="s">
        <v>20</v>
      </c>
      <c r="AH3" s="16" t="s">
        <v>18</v>
      </c>
      <c r="AI3" s="16" t="s">
        <v>19</v>
      </c>
      <c r="AJ3" s="16" t="s">
        <v>20</v>
      </c>
      <c r="AK3" s="17" t="s">
        <v>18</v>
      </c>
      <c r="AL3" s="17" t="s">
        <v>19</v>
      </c>
      <c r="AM3" s="17" t="s">
        <v>20</v>
      </c>
      <c r="AN3" s="13" t="s">
        <v>18</v>
      </c>
      <c r="AO3" s="13" t="s">
        <v>19</v>
      </c>
      <c r="AP3" s="13" t="s">
        <v>20</v>
      </c>
      <c r="AQ3" s="14" t="s">
        <v>18</v>
      </c>
      <c r="AR3" s="14" t="s">
        <v>19</v>
      </c>
      <c r="AS3" s="14" t="s">
        <v>20</v>
      </c>
    </row>
    <row r="4" ht="27.75" customHeight="1">
      <c r="A4" s="18" t="s">
        <v>21</v>
      </c>
      <c r="B4" s="6"/>
      <c r="C4" s="19"/>
      <c r="D4" s="20" t="s">
        <v>22</v>
      </c>
      <c r="E4" s="6"/>
      <c r="F4" s="19"/>
      <c r="G4" s="21" t="s">
        <v>22</v>
      </c>
      <c r="H4" s="6"/>
      <c r="I4" s="19"/>
      <c r="J4" s="20" t="s">
        <v>22</v>
      </c>
      <c r="K4" s="6"/>
      <c r="L4" s="19"/>
      <c r="M4" s="21" t="s">
        <v>22</v>
      </c>
      <c r="N4" s="6"/>
      <c r="O4" s="19"/>
      <c r="P4" s="20" t="s">
        <v>22</v>
      </c>
      <c r="Q4" s="6"/>
      <c r="R4" s="19"/>
      <c r="S4" s="21" t="s">
        <v>22</v>
      </c>
      <c r="T4" s="6"/>
      <c r="U4" s="19"/>
      <c r="V4" s="20" t="s">
        <v>22</v>
      </c>
      <c r="W4" s="6"/>
      <c r="X4" s="19"/>
      <c r="Y4" s="21" t="s">
        <v>22</v>
      </c>
      <c r="Z4" s="6"/>
      <c r="AA4" s="19"/>
      <c r="AB4" s="22" t="s">
        <v>23</v>
      </c>
      <c r="AC4" s="6"/>
      <c r="AD4" s="19"/>
      <c r="AE4" s="23" t="s">
        <v>24</v>
      </c>
      <c r="AF4" s="6"/>
      <c r="AG4" s="19"/>
      <c r="AH4" s="23" t="s">
        <v>25</v>
      </c>
      <c r="AI4" s="6"/>
      <c r="AJ4" s="19"/>
      <c r="AK4" s="24" t="s">
        <v>26</v>
      </c>
      <c r="AL4" s="6"/>
      <c r="AM4" s="19"/>
      <c r="AN4" s="20" t="s">
        <v>22</v>
      </c>
      <c r="AO4" s="6"/>
      <c r="AP4" s="19"/>
      <c r="AQ4" s="21" t="s">
        <v>22</v>
      </c>
      <c r="AR4" s="6"/>
      <c r="AS4" s="19"/>
    </row>
    <row r="5" ht="45.0" customHeight="1">
      <c r="A5" s="18" t="s">
        <v>27</v>
      </c>
      <c r="B5" s="6"/>
      <c r="C5" s="19"/>
      <c r="D5" s="25" t="s">
        <v>28</v>
      </c>
      <c r="E5" s="6"/>
      <c r="F5" s="19"/>
      <c r="G5" s="26" t="s">
        <v>29</v>
      </c>
      <c r="H5" s="6"/>
      <c r="I5" s="19"/>
      <c r="J5" s="25" t="s">
        <v>30</v>
      </c>
      <c r="K5" s="6"/>
      <c r="L5" s="19"/>
      <c r="M5" s="26" t="s">
        <v>31</v>
      </c>
      <c r="N5" s="6"/>
      <c r="O5" s="19"/>
      <c r="P5" s="25" t="s">
        <v>32</v>
      </c>
      <c r="Q5" s="6"/>
      <c r="R5" s="19"/>
      <c r="S5" s="26" t="s">
        <v>33</v>
      </c>
      <c r="T5" s="6"/>
      <c r="U5" s="19"/>
      <c r="V5" s="25" t="s">
        <v>34</v>
      </c>
      <c r="W5" s="6"/>
      <c r="X5" s="19"/>
      <c r="Y5" s="26" t="s">
        <v>35</v>
      </c>
      <c r="Z5" s="6"/>
      <c r="AA5" s="19"/>
      <c r="AB5" s="27" t="s">
        <v>36</v>
      </c>
      <c r="AC5" s="6"/>
      <c r="AD5" s="19"/>
      <c r="AE5" s="28" t="s">
        <v>37</v>
      </c>
      <c r="AF5" s="6"/>
      <c r="AG5" s="19"/>
      <c r="AH5" s="28" t="s">
        <v>38</v>
      </c>
      <c r="AI5" s="6"/>
      <c r="AJ5" s="19"/>
      <c r="AK5" s="29" t="s">
        <v>39</v>
      </c>
      <c r="AL5" s="6"/>
      <c r="AM5" s="19"/>
      <c r="AN5" s="25" t="s">
        <v>40</v>
      </c>
      <c r="AO5" s="6"/>
      <c r="AP5" s="19"/>
      <c r="AQ5" s="26" t="s">
        <v>41</v>
      </c>
      <c r="AR5" s="6"/>
      <c r="AS5" s="19"/>
    </row>
    <row r="6">
      <c r="A6" s="30">
        <v>23.0</v>
      </c>
      <c r="B6" s="30" t="s">
        <v>42</v>
      </c>
      <c r="C6" s="30" t="s">
        <v>43</v>
      </c>
      <c r="D6" s="31">
        <v>2.0</v>
      </c>
      <c r="E6" s="31">
        <v>7.0</v>
      </c>
      <c r="F6" s="31">
        <v>8.0</v>
      </c>
      <c r="G6" s="32">
        <v>4.0</v>
      </c>
      <c r="H6" s="32">
        <v>7.0</v>
      </c>
      <c r="I6" s="32">
        <v>8.0</v>
      </c>
      <c r="J6" s="31">
        <v>1.0</v>
      </c>
      <c r="K6" s="31">
        <v>7.0</v>
      </c>
      <c r="L6" s="31">
        <v>8.0</v>
      </c>
      <c r="M6" s="32">
        <v>1.0</v>
      </c>
      <c r="N6" s="32">
        <v>8.0</v>
      </c>
      <c r="O6" s="32">
        <v>9.0</v>
      </c>
      <c r="P6" s="31">
        <v>2.0</v>
      </c>
      <c r="Q6" s="31">
        <v>8.0</v>
      </c>
      <c r="R6" s="31">
        <v>9.0</v>
      </c>
      <c r="S6" s="32">
        <v>2.0</v>
      </c>
      <c r="T6" s="32">
        <v>8.0</v>
      </c>
      <c r="U6" s="32">
        <v>8.0</v>
      </c>
      <c r="V6" s="31">
        <v>4.0</v>
      </c>
      <c r="W6" s="31">
        <v>8.0</v>
      </c>
      <c r="X6" s="31">
        <v>9.0</v>
      </c>
      <c r="Y6" s="32">
        <v>1.0</v>
      </c>
      <c r="Z6" s="32">
        <v>6.0</v>
      </c>
      <c r="AA6" s="32">
        <v>8.0</v>
      </c>
      <c r="AB6" s="33">
        <v>1.0</v>
      </c>
      <c r="AC6" s="33">
        <v>3.0</v>
      </c>
      <c r="AD6" s="33">
        <v>3.0</v>
      </c>
      <c r="AE6" s="34">
        <v>2.0</v>
      </c>
      <c r="AF6" s="34">
        <v>4.0</v>
      </c>
      <c r="AG6" s="34">
        <v>4.0</v>
      </c>
      <c r="AH6" s="34">
        <v>3.0</v>
      </c>
      <c r="AI6" s="34">
        <v>4.0</v>
      </c>
      <c r="AJ6" s="34">
        <v>4.0</v>
      </c>
      <c r="AK6" s="35">
        <v>2.0</v>
      </c>
      <c r="AL6" s="35">
        <v>5.0</v>
      </c>
      <c r="AM6" s="35">
        <v>5.0</v>
      </c>
      <c r="AN6" s="36"/>
      <c r="AO6" s="36"/>
      <c r="AP6" s="36"/>
      <c r="AQ6" s="37"/>
      <c r="AR6" s="37"/>
      <c r="AS6" s="37"/>
    </row>
    <row r="7">
      <c r="A7" s="38">
        <v>23.0</v>
      </c>
      <c r="B7" s="38" t="s">
        <v>44</v>
      </c>
      <c r="C7" s="38" t="s">
        <v>43</v>
      </c>
      <c r="D7" s="39">
        <v>3.0</v>
      </c>
      <c r="E7" s="39">
        <v>6.0</v>
      </c>
      <c r="F7" s="39">
        <v>8.0</v>
      </c>
      <c r="G7" s="39">
        <v>3.0</v>
      </c>
      <c r="H7" s="39">
        <v>7.0</v>
      </c>
      <c r="I7" s="39">
        <v>8.0</v>
      </c>
      <c r="J7" s="39">
        <v>3.0</v>
      </c>
      <c r="K7" s="39">
        <v>5.0</v>
      </c>
      <c r="L7" s="39">
        <v>8.0</v>
      </c>
      <c r="M7" s="39">
        <v>2.0</v>
      </c>
      <c r="N7" s="39">
        <v>6.0</v>
      </c>
      <c r="O7" s="39">
        <v>9.0</v>
      </c>
      <c r="P7" s="39">
        <v>2.0</v>
      </c>
      <c r="Q7" s="39">
        <v>6.0</v>
      </c>
      <c r="R7" s="39">
        <v>9.0</v>
      </c>
      <c r="S7" s="39">
        <v>3.0</v>
      </c>
      <c r="T7" s="39">
        <v>7.0</v>
      </c>
      <c r="U7" s="39">
        <v>8.0</v>
      </c>
      <c r="V7" s="39">
        <v>2.0</v>
      </c>
      <c r="W7" s="39">
        <v>6.0</v>
      </c>
      <c r="X7" s="39">
        <v>9.0</v>
      </c>
      <c r="Y7" s="39">
        <v>2.0</v>
      </c>
      <c r="Z7" s="39">
        <v>6.0</v>
      </c>
      <c r="AA7" s="39">
        <v>8.0</v>
      </c>
      <c r="AB7" s="39">
        <v>1.0</v>
      </c>
      <c r="AC7" s="39">
        <v>2.0</v>
      </c>
      <c r="AD7" s="39">
        <v>3.0</v>
      </c>
      <c r="AE7" s="39">
        <v>1.0</v>
      </c>
      <c r="AF7" s="39">
        <v>3.0</v>
      </c>
      <c r="AG7" s="39">
        <v>4.0</v>
      </c>
      <c r="AH7" s="39">
        <v>1.0</v>
      </c>
      <c r="AI7" s="39">
        <v>3.0</v>
      </c>
      <c r="AJ7" s="39">
        <v>4.0</v>
      </c>
      <c r="AK7" s="39">
        <v>1.0</v>
      </c>
      <c r="AL7" s="39">
        <v>3.0</v>
      </c>
      <c r="AM7" s="39">
        <v>5.0</v>
      </c>
      <c r="AN7" s="39">
        <v>2.0</v>
      </c>
      <c r="AO7" s="39">
        <v>5.0</v>
      </c>
      <c r="AP7" s="39">
        <v>7.0</v>
      </c>
      <c r="AQ7" s="39">
        <v>2.0</v>
      </c>
      <c r="AR7" s="39">
        <v>5.0</v>
      </c>
      <c r="AS7" s="39">
        <v>6.0</v>
      </c>
    </row>
    <row r="8">
      <c r="A8" s="30">
        <v>23.0</v>
      </c>
      <c r="B8" s="30" t="s">
        <v>45</v>
      </c>
      <c r="C8" s="38" t="s">
        <v>43</v>
      </c>
      <c r="D8" s="31">
        <v>1.0</v>
      </c>
      <c r="E8" s="31">
        <v>8.0</v>
      </c>
      <c r="F8" s="31">
        <v>8.0</v>
      </c>
      <c r="G8" s="32">
        <v>1.0</v>
      </c>
      <c r="H8" s="32">
        <v>8.0</v>
      </c>
      <c r="I8" s="32">
        <v>7.0</v>
      </c>
      <c r="J8" s="31">
        <v>1.0</v>
      </c>
      <c r="K8" s="31">
        <v>7.0</v>
      </c>
      <c r="L8" s="31">
        <v>7.0</v>
      </c>
      <c r="M8" s="32">
        <v>1.0</v>
      </c>
      <c r="N8" s="32">
        <v>9.0</v>
      </c>
      <c r="O8" s="32">
        <v>8.0</v>
      </c>
      <c r="P8" s="31">
        <v>1.0</v>
      </c>
      <c r="Q8" s="31">
        <v>9.0</v>
      </c>
      <c r="R8" s="31">
        <v>10.0</v>
      </c>
      <c r="S8" s="32">
        <v>1.0</v>
      </c>
      <c r="T8" s="32">
        <v>9.0</v>
      </c>
      <c r="U8" s="32">
        <v>4.0</v>
      </c>
      <c r="V8" s="31">
        <v>1.0</v>
      </c>
      <c r="W8" s="31">
        <v>7.0</v>
      </c>
      <c r="X8" s="31">
        <v>10.0</v>
      </c>
      <c r="Y8" s="32">
        <v>1.0</v>
      </c>
      <c r="Z8" s="32">
        <v>8.0</v>
      </c>
      <c r="AA8" s="32">
        <v>10.0</v>
      </c>
      <c r="AB8" s="33">
        <v>1.0</v>
      </c>
      <c r="AC8" s="33">
        <v>3.0</v>
      </c>
      <c r="AD8" s="33">
        <v>4.0</v>
      </c>
      <c r="AE8" s="34">
        <v>1.0</v>
      </c>
      <c r="AF8" s="34">
        <v>5.0</v>
      </c>
      <c r="AG8" s="34">
        <v>4.0</v>
      </c>
      <c r="AH8" s="34">
        <v>1.0</v>
      </c>
      <c r="AI8" s="34">
        <v>4.0</v>
      </c>
      <c r="AJ8" s="34">
        <v>4.0</v>
      </c>
      <c r="AK8" s="35">
        <v>1.0</v>
      </c>
      <c r="AL8" s="35">
        <v>4.0</v>
      </c>
      <c r="AM8" s="35">
        <v>5.0</v>
      </c>
      <c r="AN8" s="31">
        <v>3.0</v>
      </c>
      <c r="AO8" s="31">
        <v>5.0</v>
      </c>
      <c r="AP8" s="31">
        <v>10.0</v>
      </c>
      <c r="AQ8" s="32">
        <v>3.0</v>
      </c>
      <c r="AR8" s="32">
        <v>5.0</v>
      </c>
      <c r="AS8" s="32">
        <v>10.0</v>
      </c>
    </row>
    <row r="9">
      <c r="A9" s="38">
        <v>23.0</v>
      </c>
      <c r="B9" s="38" t="s">
        <v>46</v>
      </c>
      <c r="C9" s="38" t="s">
        <v>43</v>
      </c>
      <c r="D9" s="39">
        <v>3.0</v>
      </c>
      <c r="E9" s="39">
        <v>7.0</v>
      </c>
      <c r="F9" s="39">
        <v>8.0</v>
      </c>
      <c r="G9" s="39">
        <v>4.0</v>
      </c>
      <c r="H9" s="39">
        <v>8.0</v>
      </c>
      <c r="I9" s="39">
        <v>7.0</v>
      </c>
      <c r="J9" s="39">
        <v>2.0</v>
      </c>
      <c r="K9" s="39">
        <v>6.0</v>
      </c>
      <c r="L9" s="39">
        <v>4.0</v>
      </c>
      <c r="M9" s="39">
        <v>4.0</v>
      </c>
      <c r="N9" s="39">
        <v>8.0</v>
      </c>
      <c r="O9" s="39">
        <v>8.0</v>
      </c>
      <c r="P9" s="39">
        <v>2.0</v>
      </c>
      <c r="Q9" s="39">
        <v>8.0</v>
      </c>
      <c r="R9" s="39">
        <v>8.0</v>
      </c>
      <c r="S9" s="39">
        <v>4.0</v>
      </c>
      <c r="T9" s="39">
        <v>9.0</v>
      </c>
      <c r="U9" s="39">
        <v>9.0</v>
      </c>
      <c r="V9" s="39">
        <v>1.0</v>
      </c>
      <c r="W9" s="39">
        <v>7.0</v>
      </c>
      <c r="X9" s="39">
        <v>8.0</v>
      </c>
      <c r="Y9" s="39">
        <v>3.0</v>
      </c>
      <c r="Z9" s="39">
        <v>8.0</v>
      </c>
      <c r="AA9" s="39">
        <v>7.0</v>
      </c>
      <c r="AB9" s="39">
        <v>1.0</v>
      </c>
      <c r="AC9" s="39">
        <v>3.0</v>
      </c>
      <c r="AD9" s="39">
        <v>1.0</v>
      </c>
      <c r="AE9" s="39">
        <v>1.0</v>
      </c>
      <c r="AF9" s="39">
        <v>2.0</v>
      </c>
      <c r="AG9" s="39">
        <v>3.0</v>
      </c>
      <c r="AH9" s="39">
        <v>2.0</v>
      </c>
      <c r="AI9" s="39">
        <v>4.0</v>
      </c>
      <c r="AJ9" s="39">
        <v>4.0</v>
      </c>
      <c r="AK9" s="39">
        <v>2.0</v>
      </c>
      <c r="AL9" s="39">
        <v>3.0</v>
      </c>
      <c r="AM9" s="39">
        <v>4.0</v>
      </c>
      <c r="AN9" s="39">
        <v>3.0</v>
      </c>
      <c r="AO9" s="39">
        <v>6.0</v>
      </c>
      <c r="AP9" s="39">
        <v>9.0</v>
      </c>
      <c r="AQ9" s="39">
        <v>6.0</v>
      </c>
      <c r="AR9" s="39">
        <v>8.0</v>
      </c>
      <c r="AS9" s="39">
        <v>8.0</v>
      </c>
    </row>
    <row r="10">
      <c r="A10" s="30">
        <v>23.0</v>
      </c>
      <c r="B10" s="30" t="s">
        <v>47</v>
      </c>
      <c r="C10" s="38" t="s">
        <v>43</v>
      </c>
      <c r="D10" s="31">
        <v>1.0</v>
      </c>
      <c r="E10" s="31">
        <v>8.0</v>
      </c>
      <c r="F10" s="31">
        <v>9.0</v>
      </c>
      <c r="G10" s="32">
        <v>2.0</v>
      </c>
      <c r="H10" s="32">
        <v>7.0</v>
      </c>
      <c r="I10" s="32">
        <v>10.0</v>
      </c>
      <c r="J10" s="31">
        <v>2.0</v>
      </c>
      <c r="K10" s="31">
        <v>8.0</v>
      </c>
      <c r="L10" s="31">
        <v>9.0</v>
      </c>
      <c r="M10" s="32">
        <v>1.0</v>
      </c>
      <c r="N10" s="32">
        <v>7.0</v>
      </c>
      <c r="O10" s="32">
        <v>10.0</v>
      </c>
      <c r="P10" s="31">
        <v>1.0</v>
      </c>
      <c r="Q10" s="31">
        <v>9.0</v>
      </c>
      <c r="R10" s="31">
        <v>10.0</v>
      </c>
      <c r="S10" s="32">
        <v>1.0</v>
      </c>
      <c r="T10" s="32">
        <v>1.0</v>
      </c>
      <c r="U10" s="32">
        <v>10.0</v>
      </c>
      <c r="V10" s="31">
        <v>1.0</v>
      </c>
      <c r="W10" s="31">
        <v>7.0</v>
      </c>
      <c r="X10" s="31">
        <v>8.0</v>
      </c>
      <c r="Y10" s="32">
        <v>1.0</v>
      </c>
      <c r="Z10" s="32">
        <v>6.0</v>
      </c>
      <c r="AA10" s="32">
        <v>9.0</v>
      </c>
      <c r="AB10" s="33">
        <v>1.0</v>
      </c>
      <c r="AC10" s="33">
        <v>3.0</v>
      </c>
      <c r="AD10" s="33">
        <v>3.0</v>
      </c>
      <c r="AE10" s="34">
        <v>1.0</v>
      </c>
      <c r="AF10" s="34">
        <v>3.0</v>
      </c>
      <c r="AG10" s="34">
        <v>5.0</v>
      </c>
      <c r="AH10" s="34">
        <v>1.0</v>
      </c>
      <c r="AI10" s="34">
        <v>3.0</v>
      </c>
      <c r="AJ10" s="34">
        <v>4.0</v>
      </c>
      <c r="AK10" s="35">
        <v>1.0</v>
      </c>
      <c r="AL10" s="35">
        <v>3.0</v>
      </c>
      <c r="AM10" s="35">
        <v>5.0</v>
      </c>
      <c r="AN10" s="31">
        <v>5.0</v>
      </c>
      <c r="AO10" s="31">
        <v>8.0</v>
      </c>
      <c r="AP10" s="31">
        <v>8.0</v>
      </c>
      <c r="AQ10" s="32">
        <v>5.0</v>
      </c>
      <c r="AR10" s="32">
        <v>9.0</v>
      </c>
      <c r="AS10" s="32">
        <v>9.0</v>
      </c>
    </row>
    <row r="11">
      <c r="A11" s="38">
        <v>23.0</v>
      </c>
      <c r="B11" s="38" t="s">
        <v>48</v>
      </c>
      <c r="C11" s="38" t="s">
        <v>43</v>
      </c>
      <c r="D11" s="39">
        <v>5.0</v>
      </c>
      <c r="E11" s="39">
        <v>7.0</v>
      </c>
      <c r="F11" s="39">
        <v>8.0</v>
      </c>
      <c r="G11" s="39">
        <v>5.0</v>
      </c>
      <c r="H11" s="39">
        <v>7.0</v>
      </c>
      <c r="I11" s="39">
        <v>9.0</v>
      </c>
      <c r="J11" s="39">
        <v>4.0</v>
      </c>
      <c r="K11" s="39">
        <v>7.0</v>
      </c>
      <c r="L11" s="39">
        <v>8.0</v>
      </c>
      <c r="M11" s="39">
        <v>3.0</v>
      </c>
      <c r="N11" s="39">
        <v>7.0</v>
      </c>
      <c r="O11" s="39">
        <v>8.0</v>
      </c>
      <c r="P11" s="39">
        <v>3.0</v>
      </c>
      <c r="Q11" s="39">
        <v>7.0</v>
      </c>
      <c r="R11" s="39">
        <v>8.0</v>
      </c>
      <c r="S11" s="39">
        <v>3.0</v>
      </c>
      <c r="T11" s="39">
        <v>8.0</v>
      </c>
      <c r="U11" s="39">
        <v>8.0</v>
      </c>
      <c r="V11" s="39">
        <v>2.0</v>
      </c>
      <c r="W11" s="39">
        <v>8.0</v>
      </c>
      <c r="X11" s="39">
        <v>8.0</v>
      </c>
      <c r="Y11" s="39">
        <v>2.0</v>
      </c>
      <c r="Z11" s="39">
        <v>9.0</v>
      </c>
      <c r="AA11" s="39">
        <v>9.0</v>
      </c>
      <c r="AB11" s="39">
        <v>2.0</v>
      </c>
      <c r="AC11" s="39">
        <v>4.0</v>
      </c>
      <c r="AD11" s="39">
        <v>5.0</v>
      </c>
      <c r="AE11" s="39">
        <v>1.0</v>
      </c>
      <c r="AF11" s="39">
        <v>3.0</v>
      </c>
      <c r="AG11" s="39">
        <v>4.0</v>
      </c>
      <c r="AH11" s="39">
        <v>2.0</v>
      </c>
      <c r="AI11" s="39">
        <v>4.0</v>
      </c>
      <c r="AJ11" s="39">
        <v>4.0</v>
      </c>
      <c r="AK11" s="39">
        <v>3.0</v>
      </c>
      <c r="AL11" s="39">
        <v>3.0</v>
      </c>
      <c r="AM11" s="39">
        <v>5.0</v>
      </c>
      <c r="AN11" s="39">
        <v>4.0</v>
      </c>
      <c r="AO11" s="39">
        <v>7.0</v>
      </c>
      <c r="AP11" s="39">
        <v>9.0</v>
      </c>
      <c r="AQ11" s="39">
        <v>5.0</v>
      </c>
      <c r="AR11" s="39">
        <v>7.0</v>
      </c>
      <c r="AS11" s="39">
        <v>10.0</v>
      </c>
    </row>
    <row r="12">
      <c r="A12" s="38">
        <v>24.0</v>
      </c>
      <c r="B12" s="38" t="s">
        <v>49</v>
      </c>
      <c r="C12" s="38" t="s">
        <v>43</v>
      </c>
      <c r="D12" s="39">
        <v>4.0</v>
      </c>
      <c r="E12" s="39">
        <v>7.0</v>
      </c>
      <c r="F12" s="39">
        <v>9.0</v>
      </c>
      <c r="G12" s="39">
        <v>2.0</v>
      </c>
      <c r="H12" s="39">
        <v>5.0</v>
      </c>
      <c r="I12" s="39">
        <v>8.0</v>
      </c>
      <c r="J12" s="39">
        <v>3.0</v>
      </c>
      <c r="K12" s="39">
        <v>6.0</v>
      </c>
      <c r="L12" s="39">
        <v>7.0</v>
      </c>
      <c r="M12" s="39">
        <v>2.0</v>
      </c>
      <c r="N12" s="39">
        <v>7.0</v>
      </c>
      <c r="O12" s="39">
        <v>9.0</v>
      </c>
      <c r="P12" s="39">
        <v>5.0</v>
      </c>
      <c r="Q12" s="39">
        <v>6.0</v>
      </c>
      <c r="R12" s="39">
        <v>8.0</v>
      </c>
      <c r="S12" s="39">
        <v>2.0</v>
      </c>
      <c r="T12" s="39">
        <v>5.0</v>
      </c>
      <c r="U12" s="39">
        <v>7.0</v>
      </c>
      <c r="V12" s="39">
        <v>3.0</v>
      </c>
      <c r="W12" s="39">
        <v>5.0</v>
      </c>
      <c r="X12" s="39">
        <v>9.0</v>
      </c>
      <c r="Y12" s="39">
        <v>2.0</v>
      </c>
      <c r="Z12" s="39">
        <v>5.0</v>
      </c>
      <c r="AA12" s="39">
        <v>9.0</v>
      </c>
      <c r="AB12" s="39">
        <v>1.0</v>
      </c>
      <c r="AC12" s="39">
        <v>2.0</v>
      </c>
      <c r="AD12" s="39">
        <v>3.0</v>
      </c>
      <c r="AE12" s="39">
        <v>1.0</v>
      </c>
      <c r="AF12" s="39">
        <v>2.0</v>
      </c>
      <c r="AG12" s="39">
        <v>3.0</v>
      </c>
      <c r="AH12" s="39">
        <v>2.0</v>
      </c>
      <c r="AI12" s="39">
        <v>4.0</v>
      </c>
      <c r="AJ12" s="39">
        <v>5.0</v>
      </c>
      <c r="AK12" s="39">
        <v>2.0</v>
      </c>
      <c r="AL12" s="39">
        <v>4.0</v>
      </c>
      <c r="AM12" s="39">
        <v>4.0</v>
      </c>
      <c r="AN12" s="39">
        <v>3.0</v>
      </c>
      <c r="AO12" s="39">
        <v>7.0</v>
      </c>
      <c r="AP12" s="39">
        <v>9.0</v>
      </c>
      <c r="AQ12" s="39">
        <v>7.0</v>
      </c>
      <c r="AR12" s="39">
        <v>7.0</v>
      </c>
      <c r="AS12" s="39">
        <v>9.0</v>
      </c>
    </row>
    <row r="13">
      <c r="A13" s="30">
        <v>24.0</v>
      </c>
      <c r="B13" s="30" t="s">
        <v>50</v>
      </c>
      <c r="C13" s="38" t="s">
        <v>43</v>
      </c>
      <c r="D13" s="31">
        <v>5.0</v>
      </c>
      <c r="E13" s="31">
        <v>6.0</v>
      </c>
      <c r="F13" s="31">
        <v>6.0</v>
      </c>
      <c r="G13" s="32">
        <v>5.0</v>
      </c>
      <c r="H13" s="32">
        <v>6.0</v>
      </c>
      <c r="I13" s="32">
        <v>6.0</v>
      </c>
      <c r="J13" s="31">
        <v>3.0</v>
      </c>
      <c r="K13" s="31">
        <v>4.0</v>
      </c>
      <c r="L13" s="31">
        <v>4.0</v>
      </c>
      <c r="M13" s="32">
        <v>2.0</v>
      </c>
      <c r="N13" s="32">
        <v>7.0</v>
      </c>
      <c r="O13" s="32">
        <v>8.0</v>
      </c>
      <c r="P13" s="31">
        <v>4.0</v>
      </c>
      <c r="Q13" s="31">
        <v>3.0</v>
      </c>
      <c r="R13" s="31">
        <v>5.0</v>
      </c>
      <c r="S13" s="32">
        <v>4.0</v>
      </c>
      <c r="T13" s="32">
        <v>6.0</v>
      </c>
      <c r="U13" s="32">
        <v>6.0</v>
      </c>
      <c r="V13" s="31">
        <v>3.0</v>
      </c>
      <c r="W13" s="31">
        <v>6.0</v>
      </c>
      <c r="X13" s="31">
        <v>6.0</v>
      </c>
      <c r="Y13" s="32">
        <v>2.0</v>
      </c>
      <c r="Z13" s="32">
        <v>5.0</v>
      </c>
      <c r="AA13" s="32">
        <v>5.0</v>
      </c>
      <c r="AB13" s="33">
        <v>1.0</v>
      </c>
      <c r="AC13" s="33">
        <v>1.0</v>
      </c>
      <c r="AD13" s="33">
        <v>3.0</v>
      </c>
      <c r="AE13" s="34">
        <v>1.0</v>
      </c>
      <c r="AF13" s="34">
        <v>3.0</v>
      </c>
      <c r="AG13" s="34">
        <v>4.0</v>
      </c>
      <c r="AH13" s="34">
        <v>3.0</v>
      </c>
      <c r="AI13" s="34">
        <v>4.0</v>
      </c>
      <c r="AJ13" s="34">
        <v>4.0</v>
      </c>
      <c r="AK13" s="35">
        <v>1.0</v>
      </c>
      <c r="AL13" s="35">
        <v>4.0</v>
      </c>
      <c r="AM13" s="35">
        <v>5.0</v>
      </c>
      <c r="AN13" s="31">
        <v>6.0</v>
      </c>
      <c r="AO13" s="31">
        <v>5.0</v>
      </c>
      <c r="AP13" s="31">
        <v>8.0</v>
      </c>
      <c r="AQ13" s="32">
        <v>6.0</v>
      </c>
      <c r="AR13" s="32">
        <v>5.0</v>
      </c>
      <c r="AS13" s="32">
        <v>8.0</v>
      </c>
    </row>
    <row r="14">
      <c r="A14" s="38">
        <v>24.0</v>
      </c>
      <c r="B14" s="38" t="s">
        <v>51</v>
      </c>
      <c r="C14" s="38" t="s">
        <v>43</v>
      </c>
      <c r="D14" s="39">
        <v>2.0</v>
      </c>
      <c r="E14" s="39">
        <v>6.0</v>
      </c>
      <c r="F14" s="39"/>
      <c r="G14" s="39">
        <v>2.0</v>
      </c>
      <c r="H14" s="39">
        <v>7.0</v>
      </c>
      <c r="I14" s="39"/>
      <c r="J14" s="39">
        <v>3.0</v>
      </c>
      <c r="K14" s="39">
        <v>6.0</v>
      </c>
      <c r="L14" s="39"/>
      <c r="M14" s="39">
        <v>2.0</v>
      </c>
      <c r="N14" s="39">
        <v>7.0</v>
      </c>
      <c r="O14" s="39"/>
      <c r="P14" s="39">
        <v>3.0</v>
      </c>
      <c r="Q14" s="39">
        <v>6.0</v>
      </c>
      <c r="R14" s="39"/>
      <c r="S14" s="39">
        <v>3.0</v>
      </c>
      <c r="T14" s="39">
        <v>9.0</v>
      </c>
      <c r="U14" s="39"/>
      <c r="V14" s="39">
        <v>2.0</v>
      </c>
      <c r="W14" s="39">
        <v>5.0</v>
      </c>
      <c r="X14" s="39"/>
      <c r="Y14" s="39">
        <v>2.0</v>
      </c>
      <c r="Z14" s="39">
        <v>6.0</v>
      </c>
      <c r="AA14" s="39"/>
      <c r="AB14" s="39">
        <v>1.0</v>
      </c>
      <c r="AC14" s="39">
        <v>2.0</v>
      </c>
      <c r="AD14" s="39"/>
      <c r="AE14" s="39">
        <v>1.0</v>
      </c>
      <c r="AF14" s="39">
        <v>2.0</v>
      </c>
      <c r="AG14" s="39"/>
      <c r="AH14" s="39">
        <v>2.0</v>
      </c>
      <c r="AI14" s="39">
        <v>4.0</v>
      </c>
      <c r="AJ14" s="39"/>
      <c r="AK14" s="39">
        <v>1.0</v>
      </c>
      <c r="AL14" s="39">
        <v>2.0</v>
      </c>
      <c r="AM14" s="39"/>
      <c r="AN14" s="39">
        <v>3.0</v>
      </c>
      <c r="AO14" s="39">
        <v>5.0</v>
      </c>
      <c r="AP14" s="39">
        <v>5.0</v>
      </c>
      <c r="AQ14" s="39">
        <v>5.0</v>
      </c>
      <c r="AR14" s="39">
        <v>5.0</v>
      </c>
      <c r="AS14" s="39">
        <v>6.0</v>
      </c>
    </row>
    <row r="15">
      <c r="A15" s="38">
        <v>24.0</v>
      </c>
      <c r="B15" s="38" t="s">
        <v>52</v>
      </c>
      <c r="C15" s="38" t="s">
        <v>43</v>
      </c>
      <c r="D15" s="39">
        <v>5.0</v>
      </c>
      <c r="E15" s="39">
        <v>7.0</v>
      </c>
      <c r="F15" s="39">
        <v>8.0</v>
      </c>
      <c r="G15" s="39">
        <v>5.0</v>
      </c>
      <c r="H15" s="39">
        <v>9.0</v>
      </c>
      <c r="I15" s="39">
        <v>10.0</v>
      </c>
      <c r="J15" s="39">
        <v>4.0</v>
      </c>
      <c r="K15" s="39">
        <v>9.0</v>
      </c>
      <c r="L15" s="39">
        <v>9.0</v>
      </c>
      <c r="M15" s="39">
        <v>4.0</v>
      </c>
      <c r="N15" s="39">
        <v>9.0</v>
      </c>
      <c r="O15" s="39">
        <v>9.0</v>
      </c>
      <c r="P15" s="39">
        <v>6.0</v>
      </c>
      <c r="Q15" s="39">
        <v>9.0</v>
      </c>
      <c r="R15" s="39">
        <v>9.0</v>
      </c>
      <c r="S15" s="39">
        <v>10.0</v>
      </c>
      <c r="T15" s="39">
        <v>7.0</v>
      </c>
      <c r="U15" s="39">
        <v>10.0</v>
      </c>
      <c r="V15" s="39">
        <v>9.0</v>
      </c>
      <c r="W15" s="39">
        <v>8.0</v>
      </c>
      <c r="X15" s="39">
        <v>10.0</v>
      </c>
      <c r="Y15" s="39">
        <v>3.0</v>
      </c>
      <c r="Z15" s="39">
        <v>7.0</v>
      </c>
      <c r="AA15" s="39">
        <v>9.0</v>
      </c>
      <c r="AB15" s="39">
        <v>2.0</v>
      </c>
      <c r="AC15" s="39">
        <v>3.0</v>
      </c>
      <c r="AD15" s="39">
        <v>4.0</v>
      </c>
      <c r="AE15" s="39">
        <v>2.0</v>
      </c>
      <c r="AF15" s="39">
        <v>5.0</v>
      </c>
      <c r="AG15" s="39">
        <v>5.0</v>
      </c>
      <c r="AH15" s="39">
        <v>4.0</v>
      </c>
      <c r="AI15" s="39">
        <v>5.0</v>
      </c>
      <c r="AJ15" s="39">
        <v>5.0</v>
      </c>
      <c r="AK15" s="39">
        <v>2.0</v>
      </c>
      <c r="AL15" s="39">
        <v>5.0</v>
      </c>
      <c r="AM15" s="39">
        <v>5.0</v>
      </c>
      <c r="AN15" s="39">
        <v>10.0</v>
      </c>
      <c r="AO15" s="39">
        <v>9.0</v>
      </c>
      <c r="AP15" s="39">
        <v>10.0</v>
      </c>
      <c r="AQ15" s="39">
        <v>9.0</v>
      </c>
      <c r="AR15" s="39">
        <v>10.0</v>
      </c>
      <c r="AS15" s="39">
        <v>10.0</v>
      </c>
    </row>
    <row r="16">
      <c r="A16" s="30">
        <v>24.0</v>
      </c>
      <c r="B16" s="30" t="s">
        <v>53</v>
      </c>
      <c r="C16" s="38" t="s">
        <v>43</v>
      </c>
      <c r="D16" s="31">
        <v>6.0</v>
      </c>
      <c r="E16" s="31">
        <v>7.0</v>
      </c>
      <c r="F16" s="31">
        <v>8.0</v>
      </c>
      <c r="G16" s="32">
        <v>6.0</v>
      </c>
      <c r="H16" s="32">
        <v>8.0</v>
      </c>
      <c r="I16" s="32">
        <v>9.0</v>
      </c>
      <c r="J16" s="31">
        <v>5.0</v>
      </c>
      <c r="K16" s="31">
        <v>7.0</v>
      </c>
      <c r="L16" s="31">
        <v>9.0</v>
      </c>
      <c r="M16" s="32">
        <v>6.0</v>
      </c>
      <c r="N16" s="32">
        <v>8.0</v>
      </c>
      <c r="O16" s="32">
        <v>10.0</v>
      </c>
      <c r="P16" s="31">
        <v>5.0</v>
      </c>
      <c r="Q16" s="31">
        <v>8.0</v>
      </c>
      <c r="R16" s="31">
        <v>9.0</v>
      </c>
      <c r="S16" s="32">
        <v>5.0</v>
      </c>
      <c r="T16" s="32">
        <v>8.0</v>
      </c>
      <c r="U16" s="32">
        <v>9.0</v>
      </c>
      <c r="V16" s="31">
        <v>4.0</v>
      </c>
      <c r="W16" s="31">
        <v>8.0</v>
      </c>
      <c r="X16" s="31">
        <v>9.0</v>
      </c>
      <c r="Y16" s="32">
        <v>4.0</v>
      </c>
      <c r="Z16" s="32">
        <v>8.0</v>
      </c>
      <c r="AA16" s="32">
        <v>9.0</v>
      </c>
      <c r="AB16" s="33">
        <v>1.0</v>
      </c>
      <c r="AC16" s="33">
        <v>3.0</v>
      </c>
      <c r="AD16" s="33">
        <v>3.0</v>
      </c>
      <c r="AE16" s="34">
        <v>2.0</v>
      </c>
      <c r="AF16" s="34">
        <v>4.0</v>
      </c>
      <c r="AG16" s="34">
        <v>4.0</v>
      </c>
      <c r="AH16" s="34">
        <v>2.0</v>
      </c>
      <c r="AI16" s="34">
        <v>4.0</v>
      </c>
      <c r="AJ16" s="34">
        <v>4.0</v>
      </c>
      <c r="AK16" s="35">
        <v>2.0</v>
      </c>
      <c r="AL16" s="35">
        <v>4.0</v>
      </c>
      <c r="AM16" s="35">
        <v>5.0</v>
      </c>
      <c r="AN16" s="31">
        <v>3.0</v>
      </c>
      <c r="AO16" s="31">
        <v>8.0</v>
      </c>
      <c r="AP16" s="31" t="s">
        <v>54</v>
      </c>
      <c r="AQ16" s="32">
        <v>5.0</v>
      </c>
      <c r="AR16" s="32">
        <v>8.0</v>
      </c>
      <c r="AS16" s="32" t="s">
        <v>54</v>
      </c>
    </row>
    <row r="17">
      <c r="A17" s="38">
        <v>24.0</v>
      </c>
      <c r="B17" s="38" t="s">
        <v>55</v>
      </c>
      <c r="C17" s="38" t="s">
        <v>43</v>
      </c>
      <c r="D17" s="39">
        <v>1.0</v>
      </c>
      <c r="E17" s="39">
        <v>7.0</v>
      </c>
      <c r="F17" s="39">
        <v>9.0</v>
      </c>
      <c r="G17" s="39">
        <v>3.0</v>
      </c>
      <c r="H17" s="39">
        <v>8.0</v>
      </c>
      <c r="I17" s="39">
        <v>8.0</v>
      </c>
      <c r="J17" s="39">
        <v>2.0</v>
      </c>
      <c r="K17" s="39">
        <v>7.0</v>
      </c>
      <c r="L17" s="39">
        <v>9.0</v>
      </c>
      <c r="M17" s="39">
        <v>3.0</v>
      </c>
      <c r="N17" s="39">
        <v>8.0</v>
      </c>
      <c r="O17" s="39">
        <v>8.0</v>
      </c>
      <c r="P17" s="39">
        <v>2.0</v>
      </c>
      <c r="Q17" s="39">
        <v>7.0</v>
      </c>
      <c r="R17" s="39">
        <v>7.0</v>
      </c>
      <c r="S17" s="39">
        <v>1.0</v>
      </c>
      <c r="T17" s="39">
        <v>9.0</v>
      </c>
      <c r="U17" s="39">
        <v>10.0</v>
      </c>
      <c r="V17" s="39">
        <v>1.0</v>
      </c>
      <c r="W17" s="39">
        <v>5.0</v>
      </c>
      <c r="X17" s="39">
        <v>5.0</v>
      </c>
      <c r="Y17" s="39">
        <v>2.0</v>
      </c>
      <c r="Z17" s="39">
        <v>8.0</v>
      </c>
      <c r="AA17" s="39">
        <v>9.0</v>
      </c>
      <c r="AB17" s="39">
        <v>1.0</v>
      </c>
      <c r="AC17" s="39">
        <v>3.0</v>
      </c>
      <c r="AD17" s="39">
        <v>2.0</v>
      </c>
      <c r="AE17" s="39">
        <v>2.0</v>
      </c>
      <c r="AF17" s="39">
        <v>4.0</v>
      </c>
      <c r="AG17" s="39">
        <v>4.0</v>
      </c>
      <c r="AH17" s="39">
        <v>2.0</v>
      </c>
      <c r="AI17" s="39">
        <v>3.0</v>
      </c>
      <c r="AJ17" s="39">
        <v>3.0</v>
      </c>
      <c r="AK17" s="39">
        <v>2.0</v>
      </c>
      <c r="AL17" s="39">
        <v>3.0</v>
      </c>
      <c r="AM17" s="39">
        <v>4.0</v>
      </c>
      <c r="AN17" s="39">
        <v>3.0</v>
      </c>
      <c r="AO17" s="39">
        <v>7.0</v>
      </c>
      <c r="AP17" s="39">
        <v>10.0</v>
      </c>
      <c r="AQ17" s="39">
        <v>3.0</v>
      </c>
      <c r="AR17" s="39">
        <v>8.0</v>
      </c>
      <c r="AS17" s="39">
        <v>9.0</v>
      </c>
    </row>
    <row r="18">
      <c r="A18" s="30">
        <v>24.0</v>
      </c>
      <c r="B18" s="30" t="s">
        <v>56</v>
      </c>
      <c r="C18" s="38" t="s">
        <v>43</v>
      </c>
      <c r="D18" s="31">
        <v>1.0</v>
      </c>
      <c r="E18" s="31">
        <v>6.0</v>
      </c>
      <c r="F18" s="31">
        <v>10.0</v>
      </c>
      <c r="G18" s="32">
        <v>3.0</v>
      </c>
      <c r="H18" s="32">
        <v>8.0</v>
      </c>
      <c r="I18" s="32">
        <v>10.0</v>
      </c>
      <c r="J18" s="31">
        <v>5.0</v>
      </c>
      <c r="K18" s="31">
        <v>5.0</v>
      </c>
      <c r="L18" s="31">
        <v>8.0</v>
      </c>
      <c r="M18" s="32">
        <v>1.0</v>
      </c>
      <c r="N18" s="32">
        <v>8.0</v>
      </c>
      <c r="O18" s="32">
        <v>10.0</v>
      </c>
      <c r="P18" s="31">
        <v>6.0</v>
      </c>
      <c r="Q18" s="31">
        <v>8.0</v>
      </c>
      <c r="R18" s="31">
        <v>9.0</v>
      </c>
      <c r="S18" s="32">
        <v>1.0</v>
      </c>
      <c r="T18" s="32">
        <v>9.0</v>
      </c>
      <c r="U18" s="32">
        <v>10.0</v>
      </c>
      <c r="V18" s="31">
        <v>1.0</v>
      </c>
      <c r="W18" s="31">
        <v>7.0</v>
      </c>
      <c r="X18" s="31">
        <v>10.0</v>
      </c>
      <c r="Y18" s="32">
        <v>1.0</v>
      </c>
      <c r="Z18" s="32">
        <v>7.0</v>
      </c>
      <c r="AA18" s="32">
        <v>10.0</v>
      </c>
      <c r="AB18" s="33">
        <v>1.0</v>
      </c>
      <c r="AC18" s="33">
        <v>3.0</v>
      </c>
      <c r="AD18" s="33">
        <v>4.0</v>
      </c>
      <c r="AE18" s="34">
        <v>2.0</v>
      </c>
      <c r="AF18" s="34">
        <v>1.0</v>
      </c>
      <c r="AG18" s="34">
        <v>5.0</v>
      </c>
      <c r="AH18" s="34">
        <v>1.0</v>
      </c>
      <c r="AI18" s="34">
        <v>2.0</v>
      </c>
      <c r="AJ18" s="34">
        <v>5.0</v>
      </c>
      <c r="AK18" s="35">
        <v>1.0</v>
      </c>
      <c r="AL18" s="35">
        <v>3.0</v>
      </c>
      <c r="AM18" s="35">
        <v>5.0</v>
      </c>
      <c r="AN18" s="31">
        <v>4.0</v>
      </c>
      <c r="AO18" s="31">
        <v>6.0</v>
      </c>
      <c r="AP18" s="31">
        <v>10.0</v>
      </c>
      <c r="AQ18" s="32">
        <v>5.0</v>
      </c>
      <c r="AR18" s="32">
        <v>6.0</v>
      </c>
      <c r="AS18" s="32">
        <v>10.0</v>
      </c>
    </row>
    <row r="19">
      <c r="A19" s="38">
        <v>25.0</v>
      </c>
      <c r="B19" s="38" t="s">
        <v>57</v>
      </c>
      <c r="C19" s="38" t="s">
        <v>43</v>
      </c>
      <c r="D19" s="39">
        <v>2.0</v>
      </c>
      <c r="E19" s="39">
        <v>4.0</v>
      </c>
      <c r="F19" s="39">
        <v>9.0</v>
      </c>
      <c r="G19" s="39">
        <v>2.0</v>
      </c>
      <c r="H19" s="39">
        <v>8.0</v>
      </c>
      <c r="I19" s="39">
        <v>9.0</v>
      </c>
      <c r="J19" s="39">
        <v>7.0</v>
      </c>
      <c r="K19" s="39">
        <v>4.0</v>
      </c>
      <c r="L19" s="39">
        <v>2.0</v>
      </c>
      <c r="M19" s="39">
        <v>3.0</v>
      </c>
      <c r="N19" s="39">
        <v>8.0</v>
      </c>
      <c r="O19" s="39">
        <v>8.0</v>
      </c>
      <c r="P19" s="39">
        <v>4.0</v>
      </c>
      <c r="Q19" s="39">
        <v>5.0</v>
      </c>
      <c r="R19" s="39">
        <v>10.0</v>
      </c>
      <c r="S19" s="39">
        <v>1.0</v>
      </c>
      <c r="T19" s="39">
        <v>8.0</v>
      </c>
      <c r="U19" s="39">
        <v>9.0</v>
      </c>
      <c r="V19" s="39">
        <v>9.0</v>
      </c>
      <c r="W19" s="39">
        <v>7.0</v>
      </c>
      <c r="X19" s="39">
        <v>7.0</v>
      </c>
      <c r="Y19" s="39">
        <v>1.0</v>
      </c>
      <c r="Z19" s="39">
        <v>5.0</v>
      </c>
      <c r="AA19" s="39">
        <v>6.0</v>
      </c>
      <c r="AB19" s="39">
        <v>1.0</v>
      </c>
      <c r="AC19" s="39">
        <v>2.0</v>
      </c>
      <c r="AD19" s="39">
        <v>3.0</v>
      </c>
      <c r="AE19" s="39">
        <v>4.0</v>
      </c>
      <c r="AF19" s="39">
        <v>4.0</v>
      </c>
      <c r="AG19" s="39">
        <v>5.0</v>
      </c>
      <c r="AH19" s="39">
        <v>3.0</v>
      </c>
      <c r="AI19" s="39">
        <v>5.0</v>
      </c>
      <c r="AJ19" s="39">
        <v>5.0</v>
      </c>
      <c r="AK19" s="39">
        <v>5.0</v>
      </c>
      <c r="AL19" s="39">
        <v>5.0</v>
      </c>
      <c r="AM19" s="39">
        <v>5.0</v>
      </c>
      <c r="AN19" s="39">
        <v>6.0</v>
      </c>
      <c r="AO19" s="39">
        <v>8.0</v>
      </c>
      <c r="AP19" s="39">
        <v>9.0</v>
      </c>
      <c r="AQ19" s="39">
        <v>6.0</v>
      </c>
      <c r="AR19" s="39">
        <v>8.0</v>
      </c>
      <c r="AS19" s="39">
        <v>9.0</v>
      </c>
    </row>
    <row r="20">
      <c r="A20" s="30">
        <v>25.0</v>
      </c>
      <c r="B20" s="30" t="s">
        <v>58</v>
      </c>
      <c r="C20" s="38" t="s">
        <v>43</v>
      </c>
      <c r="D20" s="31">
        <v>4.0</v>
      </c>
      <c r="E20" s="31">
        <v>7.0</v>
      </c>
      <c r="F20" s="31">
        <v>9.0</v>
      </c>
      <c r="G20" s="32">
        <v>3.0</v>
      </c>
      <c r="H20" s="32">
        <v>7.0</v>
      </c>
      <c r="I20" s="32">
        <v>9.0</v>
      </c>
      <c r="J20" s="31">
        <v>5.0</v>
      </c>
      <c r="K20" s="31">
        <v>9.0</v>
      </c>
      <c r="L20" s="31">
        <v>9.0</v>
      </c>
      <c r="M20" s="32">
        <v>1.0</v>
      </c>
      <c r="N20" s="32">
        <v>7.0</v>
      </c>
      <c r="O20" s="32">
        <v>9.0</v>
      </c>
      <c r="P20" s="31">
        <v>5.0</v>
      </c>
      <c r="Q20" s="31">
        <v>6.0</v>
      </c>
      <c r="R20" s="31">
        <v>8.0</v>
      </c>
      <c r="S20" s="32">
        <v>7.0</v>
      </c>
      <c r="T20" s="32">
        <v>8.0</v>
      </c>
      <c r="U20" s="32">
        <v>9.0</v>
      </c>
      <c r="V20" s="31">
        <v>2.0</v>
      </c>
      <c r="W20" s="31">
        <v>8.0</v>
      </c>
      <c r="X20" s="31">
        <v>8.0</v>
      </c>
      <c r="Y20" s="32">
        <v>1.0</v>
      </c>
      <c r="Z20" s="32">
        <v>7.0</v>
      </c>
      <c r="AA20" s="32">
        <v>9.0</v>
      </c>
      <c r="AB20" s="33">
        <v>1.0</v>
      </c>
      <c r="AC20" s="33">
        <v>3.0</v>
      </c>
      <c r="AD20" s="33">
        <v>4.0</v>
      </c>
      <c r="AE20" s="34">
        <v>3.0</v>
      </c>
      <c r="AF20" s="34">
        <v>4.0</v>
      </c>
      <c r="AG20" s="34">
        <v>4.0</v>
      </c>
      <c r="AH20" s="34">
        <v>3.0</v>
      </c>
      <c r="AI20" s="34">
        <v>5.0</v>
      </c>
      <c r="AJ20" s="34">
        <v>4.0</v>
      </c>
      <c r="AK20" s="35">
        <v>5.0</v>
      </c>
      <c r="AL20" s="35">
        <v>5.0</v>
      </c>
      <c r="AM20" s="35">
        <v>4.0</v>
      </c>
      <c r="AN20" s="31">
        <v>5.0</v>
      </c>
      <c r="AO20" s="31">
        <v>8.0</v>
      </c>
      <c r="AP20" s="31">
        <v>8.0</v>
      </c>
      <c r="AQ20" s="32">
        <v>6.0</v>
      </c>
      <c r="AR20" s="32">
        <v>8.0</v>
      </c>
      <c r="AS20" s="32">
        <v>8.0</v>
      </c>
    </row>
    <row r="21" ht="15.75" customHeight="1">
      <c r="A21" s="38">
        <v>25.0</v>
      </c>
      <c r="B21" s="38" t="s">
        <v>59</v>
      </c>
      <c r="C21" s="38" t="s">
        <v>43</v>
      </c>
      <c r="D21" s="39">
        <v>6.0</v>
      </c>
      <c r="E21" s="39">
        <v>6.0</v>
      </c>
      <c r="F21" s="39">
        <v>8.0</v>
      </c>
      <c r="G21" s="39">
        <v>5.0</v>
      </c>
      <c r="H21" s="39">
        <v>6.0</v>
      </c>
      <c r="I21" s="39">
        <v>9.0</v>
      </c>
      <c r="J21" s="39">
        <v>6.0</v>
      </c>
      <c r="K21" s="39">
        <v>6.0</v>
      </c>
      <c r="L21" s="39">
        <v>7.0</v>
      </c>
      <c r="M21" s="39">
        <v>5.0</v>
      </c>
      <c r="N21" s="39">
        <v>7.0</v>
      </c>
      <c r="O21" s="39">
        <v>9.0</v>
      </c>
      <c r="P21" s="39">
        <v>5.0</v>
      </c>
      <c r="Q21" s="39">
        <v>6.0</v>
      </c>
      <c r="R21" s="39">
        <v>9.0</v>
      </c>
      <c r="S21" s="39">
        <v>6.0</v>
      </c>
      <c r="T21" s="39">
        <v>6.0</v>
      </c>
      <c r="U21" s="39">
        <v>9.0</v>
      </c>
      <c r="V21" s="39">
        <v>6.0</v>
      </c>
      <c r="W21" s="39">
        <v>7.0</v>
      </c>
      <c r="X21" s="39">
        <v>8.0</v>
      </c>
      <c r="Y21" s="39">
        <v>5.0</v>
      </c>
      <c r="Z21" s="39">
        <v>7.0</v>
      </c>
      <c r="AA21" s="39">
        <v>9.0</v>
      </c>
      <c r="AB21" s="39">
        <v>1.0</v>
      </c>
      <c r="AC21" s="39">
        <v>3.0</v>
      </c>
      <c r="AD21" s="39">
        <v>4.0</v>
      </c>
      <c r="AE21" s="39">
        <v>2.0</v>
      </c>
      <c r="AF21" s="39">
        <v>3.0</v>
      </c>
      <c r="AG21" s="39">
        <v>4.0</v>
      </c>
      <c r="AH21" s="39">
        <v>3.0</v>
      </c>
      <c r="AI21" s="39">
        <v>4.0</v>
      </c>
      <c r="AJ21" s="39">
        <v>3.0</v>
      </c>
      <c r="AK21" s="39">
        <v>2.0</v>
      </c>
      <c r="AL21" s="39">
        <v>5.0</v>
      </c>
      <c r="AM21" s="39">
        <v>5.0</v>
      </c>
      <c r="AN21" s="39">
        <v>5.0</v>
      </c>
      <c r="AO21" s="39">
        <v>7.0</v>
      </c>
      <c r="AP21" s="39">
        <v>8.0</v>
      </c>
      <c r="AQ21" s="39">
        <v>5.0</v>
      </c>
      <c r="AR21" s="39">
        <v>8.0</v>
      </c>
      <c r="AS21" s="39">
        <v>9.0</v>
      </c>
    </row>
    <row r="22" ht="15.75" customHeight="1">
      <c r="A22" s="30">
        <v>25.0</v>
      </c>
      <c r="B22" s="30" t="s">
        <v>60</v>
      </c>
      <c r="C22" s="38" t="s">
        <v>43</v>
      </c>
      <c r="D22" s="31">
        <v>2.0</v>
      </c>
      <c r="E22" s="31">
        <v>4.0</v>
      </c>
      <c r="F22" s="31">
        <v>8.0</v>
      </c>
      <c r="G22" s="32">
        <v>2.0</v>
      </c>
      <c r="H22" s="32">
        <v>7.0</v>
      </c>
      <c r="I22" s="32">
        <v>9.0</v>
      </c>
      <c r="J22" s="31">
        <v>7.0</v>
      </c>
      <c r="K22" s="31">
        <v>9.0</v>
      </c>
      <c r="L22" s="31">
        <v>10.0</v>
      </c>
      <c r="M22" s="32">
        <v>2.0</v>
      </c>
      <c r="N22" s="32">
        <v>9.0</v>
      </c>
      <c r="O22" s="32">
        <v>9.0</v>
      </c>
      <c r="P22" s="31">
        <v>1.0</v>
      </c>
      <c r="Q22" s="31">
        <v>9.0</v>
      </c>
      <c r="R22" s="31">
        <v>10.0</v>
      </c>
      <c r="S22" s="32">
        <v>6.0</v>
      </c>
      <c r="T22" s="32">
        <v>8.0</v>
      </c>
      <c r="U22" s="32">
        <v>8.0</v>
      </c>
      <c r="V22" s="31">
        <v>1.0</v>
      </c>
      <c r="W22" s="31">
        <v>9.0</v>
      </c>
      <c r="X22" s="31">
        <v>9.0</v>
      </c>
      <c r="Y22" s="32">
        <v>2.0</v>
      </c>
      <c r="Z22" s="32">
        <v>8.0</v>
      </c>
      <c r="AA22" s="32">
        <v>9.0</v>
      </c>
      <c r="AB22" s="33">
        <v>1.0</v>
      </c>
      <c r="AC22" s="33">
        <v>2.0</v>
      </c>
      <c r="AD22" s="33">
        <v>3.0</v>
      </c>
      <c r="AE22" s="34">
        <v>1.0</v>
      </c>
      <c r="AF22" s="34">
        <v>2.0</v>
      </c>
      <c r="AG22" s="34">
        <v>4.0</v>
      </c>
      <c r="AH22" s="34">
        <v>1.0</v>
      </c>
      <c r="AI22" s="34">
        <v>3.0</v>
      </c>
      <c r="AJ22" s="34">
        <v>4.0</v>
      </c>
      <c r="AK22" s="35">
        <v>2.0</v>
      </c>
      <c r="AL22" s="35">
        <v>4.0</v>
      </c>
      <c r="AM22" s="35">
        <v>5.0</v>
      </c>
      <c r="AN22" s="31">
        <v>4.0</v>
      </c>
      <c r="AO22" s="31">
        <v>8.0</v>
      </c>
      <c r="AP22" s="31">
        <v>9.0</v>
      </c>
      <c r="AQ22" s="32">
        <v>4.0</v>
      </c>
      <c r="AR22" s="32">
        <v>8.0</v>
      </c>
      <c r="AS22" s="32">
        <v>9.0</v>
      </c>
    </row>
    <row r="23" ht="15.75" customHeight="1">
      <c r="A23" s="38">
        <v>25.0</v>
      </c>
      <c r="B23" s="38" t="s">
        <v>61</v>
      </c>
      <c r="C23" s="38" t="s">
        <v>43</v>
      </c>
      <c r="D23" s="39">
        <v>3.0</v>
      </c>
      <c r="E23" s="39">
        <v>4.0</v>
      </c>
      <c r="F23" s="39">
        <v>6.0</v>
      </c>
      <c r="G23" s="39">
        <v>3.0</v>
      </c>
      <c r="H23" s="39">
        <v>7.0</v>
      </c>
      <c r="I23" s="39">
        <v>9.0</v>
      </c>
      <c r="J23" s="39">
        <v>5.0</v>
      </c>
      <c r="K23" s="39">
        <v>5.0</v>
      </c>
      <c r="L23" s="39">
        <v>7.0</v>
      </c>
      <c r="M23" s="39">
        <v>7.0</v>
      </c>
      <c r="N23" s="39">
        <v>7.0</v>
      </c>
      <c r="O23" s="39">
        <v>9.0</v>
      </c>
      <c r="P23" s="39">
        <v>1.0</v>
      </c>
      <c r="Q23" s="39">
        <v>2.0</v>
      </c>
      <c r="R23" s="39">
        <v>5.0</v>
      </c>
      <c r="S23" s="39">
        <v>7.0</v>
      </c>
      <c r="T23" s="39">
        <v>4.0</v>
      </c>
      <c r="U23" s="39">
        <v>5.0</v>
      </c>
      <c r="V23" s="39">
        <v>1.0</v>
      </c>
      <c r="W23" s="39">
        <v>4.0</v>
      </c>
      <c r="X23" s="39">
        <v>5.0</v>
      </c>
      <c r="Y23" s="39">
        <v>2.0</v>
      </c>
      <c r="Z23" s="39">
        <v>3.0</v>
      </c>
      <c r="AA23" s="39">
        <v>5.0</v>
      </c>
      <c r="AB23" s="39">
        <v>2.0</v>
      </c>
      <c r="AC23" s="39">
        <v>3.0</v>
      </c>
      <c r="AD23" s="39">
        <v>4.0</v>
      </c>
      <c r="AE23" s="39">
        <v>1.0</v>
      </c>
      <c r="AF23" s="39">
        <v>2.0</v>
      </c>
      <c r="AG23" s="39">
        <v>3.0</v>
      </c>
      <c r="AH23" s="39">
        <v>1.0</v>
      </c>
      <c r="AI23" s="39">
        <v>2.0</v>
      </c>
      <c r="AJ23" s="39">
        <v>2.0</v>
      </c>
      <c r="AK23" s="39">
        <v>2.0</v>
      </c>
      <c r="AL23" s="39">
        <v>5.0</v>
      </c>
      <c r="AM23" s="39">
        <v>5.0</v>
      </c>
      <c r="AN23" s="39">
        <v>5.0</v>
      </c>
      <c r="AO23" s="39">
        <v>5.0</v>
      </c>
      <c r="AP23" s="39">
        <v>7.0</v>
      </c>
      <c r="AQ23" s="39">
        <v>3.0</v>
      </c>
      <c r="AR23" s="39">
        <v>5.0</v>
      </c>
      <c r="AS23" s="39">
        <v>7.0</v>
      </c>
    </row>
    <row r="24" ht="15.75" customHeight="1">
      <c r="A24" s="30">
        <v>25.0</v>
      </c>
      <c r="B24" s="30" t="s">
        <v>62</v>
      </c>
      <c r="C24" s="38" t="s">
        <v>43</v>
      </c>
      <c r="D24" s="31">
        <v>3.0</v>
      </c>
      <c r="E24" s="31">
        <v>8.0</v>
      </c>
      <c r="F24" s="31">
        <v>8.0</v>
      </c>
      <c r="G24" s="32">
        <v>4.0</v>
      </c>
      <c r="H24" s="32">
        <v>7.0</v>
      </c>
      <c r="I24" s="32">
        <v>6.0</v>
      </c>
      <c r="J24" s="31">
        <v>7.0</v>
      </c>
      <c r="K24" s="31">
        <v>7.0</v>
      </c>
      <c r="L24" s="31">
        <v>8.0</v>
      </c>
      <c r="M24" s="32">
        <v>5.0</v>
      </c>
      <c r="N24" s="32">
        <v>6.0</v>
      </c>
      <c r="O24" s="32">
        <v>7.0</v>
      </c>
      <c r="P24" s="31">
        <v>5.0</v>
      </c>
      <c r="Q24" s="31">
        <v>6.0</v>
      </c>
      <c r="R24" s="31">
        <v>8.0</v>
      </c>
      <c r="S24" s="32">
        <v>6.0</v>
      </c>
      <c r="T24" s="32">
        <v>7.0</v>
      </c>
      <c r="U24" s="32">
        <v>8.0</v>
      </c>
      <c r="V24" s="31">
        <v>3.0</v>
      </c>
      <c r="W24" s="31">
        <v>5.0</v>
      </c>
      <c r="X24" s="31">
        <v>7.0</v>
      </c>
      <c r="Y24" s="32">
        <v>1.0</v>
      </c>
      <c r="Z24" s="32">
        <v>7.0</v>
      </c>
      <c r="AA24" s="32">
        <v>6.0</v>
      </c>
      <c r="AB24" s="33">
        <v>2.0</v>
      </c>
      <c r="AC24" s="33">
        <v>3.0</v>
      </c>
      <c r="AD24" s="33">
        <v>3.0</v>
      </c>
      <c r="AE24" s="34">
        <v>3.0</v>
      </c>
      <c r="AF24" s="34">
        <v>3.0</v>
      </c>
      <c r="AG24" s="34">
        <v>4.0</v>
      </c>
      <c r="AH24" s="34">
        <v>3.0</v>
      </c>
      <c r="AI24" s="34">
        <v>3.0</v>
      </c>
      <c r="AJ24" s="34">
        <v>5.0</v>
      </c>
      <c r="AK24" s="35">
        <v>3.0</v>
      </c>
      <c r="AL24" s="35">
        <v>3.0</v>
      </c>
      <c r="AM24" s="35">
        <v>4.0</v>
      </c>
      <c r="AN24" s="31">
        <v>5.0</v>
      </c>
      <c r="AO24" s="31">
        <v>6.0</v>
      </c>
      <c r="AP24" s="31">
        <v>8.0</v>
      </c>
      <c r="AQ24" s="32">
        <v>5.0</v>
      </c>
      <c r="AR24" s="32">
        <v>6.0</v>
      </c>
      <c r="AS24" s="32">
        <v>8.0</v>
      </c>
    </row>
    <row r="25" ht="15.75" customHeight="1">
      <c r="A25" s="38">
        <v>25.0</v>
      </c>
      <c r="B25" s="38" t="s">
        <v>63</v>
      </c>
      <c r="C25" s="38" t="s">
        <v>43</v>
      </c>
      <c r="D25" s="39">
        <v>2.0</v>
      </c>
      <c r="E25" s="39">
        <v>5.0</v>
      </c>
      <c r="F25" s="39">
        <v>8.0</v>
      </c>
      <c r="G25" s="39">
        <v>1.0</v>
      </c>
      <c r="H25" s="39">
        <v>9.0</v>
      </c>
      <c r="I25" s="39">
        <v>9.0</v>
      </c>
      <c r="J25" s="39">
        <v>7.0</v>
      </c>
      <c r="K25" s="39">
        <v>2.0</v>
      </c>
      <c r="L25" s="39">
        <v>8.0</v>
      </c>
      <c r="M25" s="39">
        <v>2.0</v>
      </c>
      <c r="N25" s="39">
        <v>9.0</v>
      </c>
      <c r="O25" s="39">
        <v>9.0</v>
      </c>
      <c r="P25" s="39">
        <v>3.0</v>
      </c>
      <c r="Q25" s="39">
        <v>9.0</v>
      </c>
      <c r="R25" s="39">
        <v>9.0</v>
      </c>
      <c r="S25" s="39">
        <v>9.0</v>
      </c>
      <c r="T25" s="39">
        <v>8.0</v>
      </c>
      <c r="U25" s="39">
        <v>10.0</v>
      </c>
      <c r="V25" s="39">
        <v>2.0</v>
      </c>
      <c r="W25" s="39">
        <v>7.0</v>
      </c>
      <c r="X25" s="39">
        <v>9.0</v>
      </c>
      <c r="Y25" s="39">
        <v>1.0</v>
      </c>
      <c r="Z25" s="39">
        <v>6.0</v>
      </c>
      <c r="AA25" s="39">
        <v>9.0</v>
      </c>
      <c r="AB25" s="39">
        <v>1.0</v>
      </c>
      <c r="AC25" s="39">
        <v>3.0</v>
      </c>
      <c r="AD25" s="39">
        <v>9.0</v>
      </c>
      <c r="AE25" s="39">
        <v>2.0</v>
      </c>
      <c r="AF25" s="39">
        <v>5.0</v>
      </c>
      <c r="AG25" s="39">
        <v>3.0</v>
      </c>
      <c r="AH25" s="39">
        <v>4.0</v>
      </c>
      <c r="AI25" s="39">
        <v>5.0</v>
      </c>
      <c r="AJ25" s="39">
        <v>5.0</v>
      </c>
      <c r="AK25" s="39">
        <v>5.0</v>
      </c>
      <c r="AL25" s="39">
        <v>5.0</v>
      </c>
      <c r="AM25" s="39">
        <v>5.0</v>
      </c>
      <c r="AN25" s="39">
        <v>3.0</v>
      </c>
      <c r="AO25" s="39">
        <v>8.0</v>
      </c>
      <c r="AP25" s="39" t="s">
        <v>54</v>
      </c>
      <c r="AQ25" s="39">
        <v>3.0</v>
      </c>
      <c r="AR25" s="39">
        <v>8.0</v>
      </c>
      <c r="AS25" s="39" t="s">
        <v>54</v>
      </c>
    </row>
    <row r="26" ht="15.75" customHeight="1">
      <c r="A26" s="30">
        <v>26.0</v>
      </c>
      <c r="B26" s="30" t="s">
        <v>64</v>
      </c>
      <c r="C26" s="38" t="s">
        <v>43</v>
      </c>
      <c r="D26" s="31">
        <v>2.0</v>
      </c>
      <c r="E26" s="31">
        <v>7.0</v>
      </c>
      <c r="F26" s="36"/>
      <c r="G26" s="32">
        <v>2.0</v>
      </c>
      <c r="H26" s="32">
        <v>8.0</v>
      </c>
      <c r="I26" s="37"/>
      <c r="J26" s="31">
        <v>9.0</v>
      </c>
      <c r="K26" s="31">
        <v>7.0</v>
      </c>
      <c r="L26" s="36"/>
      <c r="M26" s="32">
        <v>3.0</v>
      </c>
      <c r="N26" s="32">
        <v>8.0</v>
      </c>
      <c r="O26" s="37"/>
      <c r="P26" s="31">
        <v>5.0</v>
      </c>
      <c r="Q26" s="31">
        <v>9.0</v>
      </c>
      <c r="R26" s="36"/>
      <c r="S26" s="32">
        <v>7.0</v>
      </c>
      <c r="T26" s="32">
        <v>8.0</v>
      </c>
      <c r="U26" s="37"/>
      <c r="V26" s="31">
        <v>3.0</v>
      </c>
      <c r="W26" s="31">
        <v>7.0</v>
      </c>
      <c r="X26" s="36"/>
      <c r="Y26" s="32">
        <v>1.0</v>
      </c>
      <c r="Z26" s="32">
        <v>9.0</v>
      </c>
      <c r="AA26" s="37"/>
      <c r="AB26" s="33">
        <v>2.0</v>
      </c>
      <c r="AC26" s="33">
        <v>4.0</v>
      </c>
      <c r="AD26" s="40"/>
      <c r="AE26" s="34">
        <v>3.0</v>
      </c>
      <c r="AF26" s="34">
        <v>5.0</v>
      </c>
      <c r="AG26" s="41"/>
      <c r="AH26" s="34">
        <v>3.0</v>
      </c>
      <c r="AI26" s="34">
        <v>3.0</v>
      </c>
      <c r="AJ26" s="41"/>
      <c r="AK26" s="35">
        <v>2.0</v>
      </c>
      <c r="AL26" s="35">
        <v>3.0</v>
      </c>
      <c r="AM26" s="42"/>
      <c r="AN26" s="31">
        <v>4.0</v>
      </c>
      <c r="AO26" s="31">
        <v>8.0</v>
      </c>
      <c r="AP26" s="36"/>
      <c r="AQ26" s="32">
        <v>4.0</v>
      </c>
      <c r="AR26" s="32">
        <v>8.0</v>
      </c>
      <c r="AS26" s="37"/>
    </row>
    <row r="27" ht="15.75" customHeight="1">
      <c r="A27" s="38">
        <v>26.0</v>
      </c>
      <c r="B27" s="38" t="s">
        <v>65</v>
      </c>
      <c r="C27" s="38" t="s">
        <v>43</v>
      </c>
      <c r="D27" s="39">
        <v>3.0</v>
      </c>
      <c r="E27" s="39">
        <v>7.0</v>
      </c>
      <c r="F27" s="43"/>
      <c r="G27" s="39">
        <v>2.0</v>
      </c>
      <c r="H27" s="39">
        <v>6.0</v>
      </c>
      <c r="I27" s="43"/>
      <c r="J27" s="39">
        <v>6.0</v>
      </c>
      <c r="K27" s="39">
        <v>8.0</v>
      </c>
      <c r="L27" s="43"/>
      <c r="M27" s="39">
        <v>6.0</v>
      </c>
      <c r="N27" s="39">
        <v>8.0</v>
      </c>
      <c r="O27" s="43"/>
      <c r="P27" s="39">
        <v>3.0</v>
      </c>
      <c r="Q27" s="39">
        <v>7.0</v>
      </c>
      <c r="R27" s="43"/>
      <c r="S27" s="39">
        <v>9.0</v>
      </c>
      <c r="T27" s="39">
        <v>9.0</v>
      </c>
      <c r="U27" s="43"/>
      <c r="V27" s="39">
        <v>5.0</v>
      </c>
      <c r="W27" s="39">
        <v>8.0</v>
      </c>
      <c r="X27" s="43"/>
      <c r="Y27" s="39">
        <v>2.0</v>
      </c>
      <c r="Z27" s="39">
        <v>7.0</v>
      </c>
      <c r="AA27" s="43"/>
      <c r="AB27" s="39">
        <v>2.0</v>
      </c>
      <c r="AC27" s="39">
        <v>2.0</v>
      </c>
      <c r="AD27" s="43"/>
      <c r="AE27" s="39">
        <v>1.0</v>
      </c>
      <c r="AF27" s="39">
        <v>2.0</v>
      </c>
      <c r="AG27" s="43"/>
      <c r="AH27" s="39">
        <v>2.0</v>
      </c>
      <c r="AI27" s="39">
        <v>3.0</v>
      </c>
      <c r="AJ27" s="43"/>
      <c r="AK27" s="39">
        <v>2.0</v>
      </c>
      <c r="AL27" s="39">
        <v>4.0</v>
      </c>
      <c r="AM27" s="43"/>
      <c r="AN27" s="39">
        <v>4.0</v>
      </c>
      <c r="AO27" s="39">
        <v>7.0</v>
      </c>
      <c r="AP27" s="43"/>
      <c r="AQ27" s="39">
        <v>4.0</v>
      </c>
      <c r="AR27" s="39">
        <v>7.0</v>
      </c>
      <c r="AS27" s="43"/>
    </row>
    <row r="28" ht="15.75" customHeight="1">
      <c r="A28" s="38">
        <v>26.0</v>
      </c>
      <c r="B28" s="30" t="s">
        <v>66</v>
      </c>
      <c r="C28" s="38" t="s">
        <v>43</v>
      </c>
      <c r="D28" s="31">
        <v>5.0</v>
      </c>
      <c r="E28" s="31">
        <v>7.0</v>
      </c>
      <c r="F28" s="36"/>
      <c r="G28" s="32">
        <v>4.0</v>
      </c>
      <c r="H28" s="32">
        <v>8.0</v>
      </c>
      <c r="I28" s="37"/>
      <c r="J28" s="31">
        <v>4.0</v>
      </c>
      <c r="K28" s="31">
        <v>6.0</v>
      </c>
      <c r="L28" s="36"/>
      <c r="M28" s="32">
        <v>5.0</v>
      </c>
      <c r="N28" s="32">
        <v>7.0</v>
      </c>
      <c r="O28" s="37"/>
      <c r="P28" s="31">
        <v>6.0</v>
      </c>
      <c r="Q28" s="31">
        <v>9.0</v>
      </c>
      <c r="R28" s="36"/>
      <c r="S28" s="32">
        <v>4.0</v>
      </c>
      <c r="T28" s="32">
        <v>7.0</v>
      </c>
      <c r="U28" s="37"/>
      <c r="V28" s="31">
        <v>4.0</v>
      </c>
      <c r="W28" s="31">
        <v>8.0</v>
      </c>
      <c r="X28" s="36"/>
      <c r="Y28" s="32">
        <v>3.0</v>
      </c>
      <c r="Z28" s="32">
        <v>7.0</v>
      </c>
      <c r="AA28" s="37"/>
      <c r="AB28" s="33">
        <v>2.0</v>
      </c>
      <c r="AC28" s="33">
        <v>3.0</v>
      </c>
      <c r="AD28" s="40"/>
      <c r="AE28" s="34">
        <v>3.0</v>
      </c>
      <c r="AF28" s="34">
        <v>3.0</v>
      </c>
      <c r="AG28" s="41"/>
      <c r="AH28" s="34">
        <v>4.0</v>
      </c>
      <c r="AI28" s="34">
        <v>4.0</v>
      </c>
      <c r="AJ28" s="41"/>
      <c r="AK28" s="35">
        <v>2.0</v>
      </c>
      <c r="AL28" s="35">
        <v>4.0</v>
      </c>
      <c r="AM28" s="42"/>
      <c r="AN28" s="31">
        <v>5.0</v>
      </c>
      <c r="AO28" s="31">
        <v>7.0</v>
      </c>
      <c r="AP28" s="36"/>
      <c r="AQ28" s="32">
        <v>5.0</v>
      </c>
      <c r="AR28" s="32">
        <v>8.0</v>
      </c>
      <c r="AS28" s="37"/>
    </row>
    <row r="29" ht="15.75" customHeight="1">
      <c r="A29" s="38">
        <v>26.0</v>
      </c>
      <c r="B29" s="38" t="s">
        <v>67</v>
      </c>
      <c r="C29" s="38" t="s">
        <v>43</v>
      </c>
      <c r="D29" s="39">
        <v>6.0</v>
      </c>
      <c r="E29" s="39">
        <v>8.0</v>
      </c>
      <c r="F29" s="43"/>
      <c r="G29" s="39">
        <v>5.0</v>
      </c>
      <c r="H29" s="39">
        <v>7.0</v>
      </c>
      <c r="I29" s="43"/>
      <c r="J29" s="39">
        <v>4.0</v>
      </c>
      <c r="K29" s="39">
        <v>7.0</v>
      </c>
      <c r="L29" s="43"/>
      <c r="M29" s="39">
        <v>5.0</v>
      </c>
      <c r="N29" s="39">
        <v>6.0</v>
      </c>
      <c r="O29" s="43"/>
      <c r="P29" s="39">
        <v>6.0</v>
      </c>
      <c r="Q29" s="39">
        <v>8.0</v>
      </c>
      <c r="R29" s="43"/>
      <c r="S29" s="39">
        <v>5.0</v>
      </c>
      <c r="T29" s="39">
        <v>9.0</v>
      </c>
      <c r="U29" s="43"/>
      <c r="V29" s="39">
        <v>6.0</v>
      </c>
      <c r="W29" s="39">
        <v>8.0</v>
      </c>
      <c r="X29" s="43"/>
      <c r="Y29" s="39">
        <v>3.0</v>
      </c>
      <c r="Z29" s="39">
        <v>7.0</v>
      </c>
      <c r="AA29" s="43"/>
      <c r="AB29" s="39">
        <v>2.0</v>
      </c>
      <c r="AC29" s="39">
        <v>3.0</v>
      </c>
      <c r="AD29" s="43"/>
      <c r="AE29" s="39">
        <v>3.0</v>
      </c>
      <c r="AF29" s="39">
        <v>3.0</v>
      </c>
      <c r="AG29" s="43"/>
      <c r="AH29" s="39">
        <v>4.0</v>
      </c>
      <c r="AI29" s="39">
        <v>4.0</v>
      </c>
      <c r="AJ29" s="43"/>
      <c r="AK29" s="39">
        <v>2.0</v>
      </c>
      <c r="AL29" s="39">
        <v>4.0</v>
      </c>
      <c r="AM29" s="43"/>
      <c r="AN29" s="39">
        <v>4.0</v>
      </c>
      <c r="AO29" s="39">
        <v>7.0</v>
      </c>
      <c r="AP29" s="39"/>
      <c r="AQ29" s="39">
        <v>4.0</v>
      </c>
      <c r="AR29" s="39">
        <v>7.0</v>
      </c>
      <c r="AS29" s="43"/>
    </row>
    <row r="30" ht="15.75" customHeight="1">
      <c r="A30" s="38">
        <v>26.0</v>
      </c>
      <c r="B30" s="30" t="s">
        <v>68</v>
      </c>
      <c r="C30" s="38" t="s">
        <v>43</v>
      </c>
      <c r="D30" s="31">
        <v>4.0</v>
      </c>
      <c r="E30" s="31">
        <v>8.0</v>
      </c>
      <c r="F30" s="36"/>
      <c r="G30" s="32">
        <v>6.0</v>
      </c>
      <c r="H30" s="32">
        <v>8.0</v>
      </c>
      <c r="I30" s="37"/>
      <c r="J30" s="31">
        <v>6.0</v>
      </c>
      <c r="K30" s="31">
        <v>7.0</v>
      </c>
      <c r="L30" s="36"/>
      <c r="M30" s="32">
        <v>2.0</v>
      </c>
      <c r="N30" s="32">
        <v>7.0</v>
      </c>
      <c r="O30" s="37"/>
      <c r="P30" s="31">
        <v>5.0</v>
      </c>
      <c r="Q30" s="31">
        <v>8.0</v>
      </c>
      <c r="R30" s="36"/>
      <c r="S30" s="32">
        <v>8.0</v>
      </c>
      <c r="T30" s="32">
        <v>9.0</v>
      </c>
      <c r="U30" s="37"/>
      <c r="V30" s="31">
        <v>4.0</v>
      </c>
      <c r="W30" s="31">
        <v>6.0</v>
      </c>
      <c r="X30" s="36"/>
      <c r="Y30" s="32">
        <v>2.0</v>
      </c>
      <c r="Z30" s="32">
        <v>4.0</v>
      </c>
      <c r="AA30" s="37"/>
      <c r="AB30" s="33">
        <v>1.0</v>
      </c>
      <c r="AC30" s="33">
        <v>1.0</v>
      </c>
      <c r="AD30" s="40"/>
      <c r="AE30" s="34">
        <v>3.0</v>
      </c>
      <c r="AF30" s="34">
        <v>3.0</v>
      </c>
      <c r="AG30" s="41"/>
      <c r="AH30" s="34">
        <v>5.0</v>
      </c>
      <c r="AI30" s="34">
        <v>4.0</v>
      </c>
      <c r="AJ30" s="41"/>
      <c r="AK30" s="35">
        <v>2.0</v>
      </c>
      <c r="AL30" s="35">
        <v>4.0</v>
      </c>
      <c r="AM30" s="42"/>
      <c r="AN30" s="31">
        <v>3.0</v>
      </c>
      <c r="AO30" s="31">
        <v>8.0</v>
      </c>
      <c r="AP30" s="36"/>
      <c r="AQ30" s="32">
        <v>4.0</v>
      </c>
      <c r="AR30" s="32">
        <v>7.0</v>
      </c>
      <c r="AS30" s="37"/>
    </row>
    <row r="31" ht="15.75" customHeight="1">
      <c r="A31" s="38">
        <v>26.0</v>
      </c>
      <c r="B31" s="38" t="s">
        <v>69</v>
      </c>
      <c r="C31" s="38" t="s">
        <v>43</v>
      </c>
      <c r="D31" s="39">
        <v>2.0</v>
      </c>
      <c r="E31" s="39">
        <v>7.0</v>
      </c>
      <c r="F31" s="43"/>
      <c r="G31" s="39">
        <v>4.0</v>
      </c>
      <c r="H31" s="39">
        <v>5.0</v>
      </c>
      <c r="I31" s="43"/>
      <c r="J31" s="39">
        <v>3.0</v>
      </c>
      <c r="K31" s="39">
        <v>4.0</v>
      </c>
      <c r="L31" s="43"/>
      <c r="M31" s="39">
        <v>2.0</v>
      </c>
      <c r="N31" s="39">
        <v>6.0</v>
      </c>
      <c r="O31" s="43"/>
      <c r="P31" s="39">
        <v>4.0</v>
      </c>
      <c r="Q31" s="39">
        <v>7.0</v>
      </c>
      <c r="R31" s="43"/>
      <c r="S31" s="39">
        <v>3.0</v>
      </c>
      <c r="T31" s="39">
        <v>8.0</v>
      </c>
      <c r="U31" s="43"/>
      <c r="V31" s="39">
        <v>3.0</v>
      </c>
      <c r="W31" s="39">
        <v>7.0</v>
      </c>
      <c r="X31" s="43"/>
      <c r="Y31" s="39">
        <v>2.0</v>
      </c>
      <c r="Z31" s="39">
        <v>6.0</v>
      </c>
      <c r="AA31" s="43"/>
      <c r="AB31" s="39">
        <v>1.0</v>
      </c>
      <c r="AC31" s="39">
        <v>2.0</v>
      </c>
      <c r="AD31" s="43"/>
      <c r="AE31" s="39">
        <v>2.0</v>
      </c>
      <c r="AF31" s="39">
        <v>2.0</v>
      </c>
      <c r="AG31" s="43"/>
      <c r="AH31" s="39">
        <v>2.0</v>
      </c>
      <c r="AI31" s="39">
        <v>4.0</v>
      </c>
      <c r="AJ31" s="43"/>
      <c r="AK31" s="39">
        <v>2.0</v>
      </c>
      <c r="AL31" s="39">
        <v>4.0</v>
      </c>
      <c r="AM31" s="43"/>
      <c r="AN31" s="39">
        <v>5.0</v>
      </c>
      <c r="AO31" s="39">
        <v>6.0</v>
      </c>
      <c r="AP31" s="43"/>
      <c r="AQ31" s="39">
        <v>5.0</v>
      </c>
      <c r="AR31" s="39">
        <v>6.0</v>
      </c>
      <c r="AS31" s="43"/>
    </row>
    <row r="32" ht="15.75" customHeight="1">
      <c r="A32" s="38">
        <v>26.0</v>
      </c>
      <c r="B32" s="30" t="s">
        <v>70</v>
      </c>
      <c r="C32" s="38" t="s">
        <v>43</v>
      </c>
      <c r="D32" s="31">
        <v>5.0</v>
      </c>
      <c r="E32" s="31">
        <v>7.0</v>
      </c>
      <c r="F32" s="36"/>
      <c r="G32" s="32">
        <v>4.0</v>
      </c>
      <c r="H32" s="32">
        <v>7.0</v>
      </c>
      <c r="I32" s="37"/>
      <c r="J32" s="31">
        <v>4.0</v>
      </c>
      <c r="K32" s="31">
        <v>3.0</v>
      </c>
      <c r="L32" s="36"/>
      <c r="M32" s="32">
        <v>7.0</v>
      </c>
      <c r="N32" s="32">
        <v>5.0</v>
      </c>
      <c r="O32" s="37"/>
      <c r="P32" s="31">
        <v>7.0</v>
      </c>
      <c r="Q32" s="31">
        <v>6.0</v>
      </c>
      <c r="R32" s="36"/>
      <c r="S32" s="32">
        <v>10.0</v>
      </c>
      <c r="T32" s="32">
        <v>10.0</v>
      </c>
      <c r="U32" s="37"/>
      <c r="V32" s="31">
        <v>4.0</v>
      </c>
      <c r="W32" s="31">
        <v>6.0</v>
      </c>
      <c r="X32" s="36"/>
      <c r="Y32" s="32">
        <v>4.0</v>
      </c>
      <c r="Z32" s="32">
        <v>6.0</v>
      </c>
      <c r="AA32" s="37"/>
      <c r="AB32" s="33">
        <v>1.0</v>
      </c>
      <c r="AC32" s="33">
        <v>1.0</v>
      </c>
      <c r="AD32" s="40"/>
      <c r="AE32" s="34">
        <v>3.0</v>
      </c>
      <c r="AF32" s="34">
        <v>2.0</v>
      </c>
      <c r="AG32" s="41"/>
      <c r="AH32" s="34">
        <v>3.0</v>
      </c>
      <c r="AI32" s="34">
        <v>3.0</v>
      </c>
      <c r="AJ32" s="41"/>
      <c r="AK32" s="35">
        <v>3.0</v>
      </c>
      <c r="AL32" s="35">
        <v>4.0</v>
      </c>
      <c r="AM32" s="42"/>
      <c r="AN32" s="31">
        <v>4.0</v>
      </c>
      <c r="AO32" s="31">
        <v>10.0</v>
      </c>
      <c r="AP32" s="36"/>
      <c r="AQ32" s="32">
        <v>4.0</v>
      </c>
      <c r="AR32" s="32">
        <v>10.0</v>
      </c>
      <c r="AS32" s="37"/>
    </row>
    <row r="33" ht="15.75" customHeight="1">
      <c r="A33" s="38">
        <v>26.0</v>
      </c>
      <c r="B33" s="38" t="s">
        <v>71</v>
      </c>
      <c r="C33" s="38" t="s">
        <v>43</v>
      </c>
      <c r="D33" s="39">
        <v>4.0</v>
      </c>
      <c r="E33" s="39">
        <v>7.0</v>
      </c>
      <c r="F33" s="43"/>
      <c r="G33" s="39">
        <v>4.0</v>
      </c>
      <c r="H33" s="39">
        <v>7.0</v>
      </c>
      <c r="I33" s="43"/>
      <c r="J33" s="39">
        <v>7.0</v>
      </c>
      <c r="K33" s="39">
        <v>7.0</v>
      </c>
      <c r="L33" s="43"/>
      <c r="M33" s="39">
        <v>5.0</v>
      </c>
      <c r="N33" s="39">
        <v>7.0</v>
      </c>
      <c r="O33" s="43"/>
      <c r="P33" s="39">
        <v>7.0</v>
      </c>
      <c r="Q33" s="39">
        <v>8.0</v>
      </c>
      <c r="R33" s="43"/>
      <c r="S33" s="39">
        <v>4.0</v>
      </c>
      <c r="T33" s="39">
        <v>8.0</v>
      </c>
      <c r="U33" s="43"/>
      <c r="V33" s="39">
        <v>6.0</v>
      </c>
      <c r="W33" s="39">
        <v>8.0</v>
      </c>
      <c r="X33" s="43"/>
      <c r="Y33" s="39">
        <v>2.0</v>
      </c>
      <c r="Z33" s="39">
        <v>6.0</v>
      </c>
      <c r="AA33" s="43"/>
      <c r="AB33" s="39">
        <v>1.0</v>
      </c>
      <c r="AC33" s="39">
        <v>3.0</v>
      </c>
      <c r="AD33" s="43"/>
      <c r="AE33" s="39">
        <v>3.0</v>
      </c>
      <c r="AF33" s="39">
        <v>4.0</v>
      </c>
      <c r="AG33" s="43"/>
      <c r="AH33" s="39">
        <v>4.0</v>
      </c>
      <c r="AI33" s="39">
        <v>4.0</v>
      </c>
      <c r="AJ33" s="43"/>
      <c r="AK33" s="39">
        <v>3.0</v>
      </c>
      <c r="AL33" s="39">
        <v>5.0</v>
      </c>
      <c r="AM33" s="43"/>
      <c r="AN33" s="39">
        <v>4.0</v>
      </c>
      <c r="AO33" s="39">
        <v>8.0</v>
      </c>
      <c r="AP33" s="43"/>
      <c r="AQ33" s="39">
        <v>4.0</v>
      </c>
      <c r="AR33" s="39">
        <v>8.0</v>
      </c>
      <c r="AS33" s="43"/>
    </row>
    <row r="34" ht="15.75" customHeight="1">
      <c r="A34" s="38">
        <v>26.0</v>
      </c>
      <c r="B34" s="30" t="s">
        <v>72</v>
      </c>
      <c r="C34" s="38" t="s">
        <v>43</v>
      </c>
      <c r="D34" s="31">
        <v>3.0</v>
      </c>
      <c r="E34" s="31">
        <v>5.0</v>
      </c>
      <c r="F34" s="36"/>
      <c r="G34" s="32">
        <v>2.0</v>
      </c>
      <c r="H34" s="32">
        <v>5.0</v>
      </c>
      <c r="I34" s="37"/>
      <c r="J34" s="31">
        <v>4.0</v>
      </c>
      <c r="K34" s="31">
        <v>5.0</v>
      </c>
      <c r="L34" s="36"/>
      <c r="M34" s="32">
        <v>2.0</v>
      </c>
      <c r="N34" s="32">
        <v>6.0</v>
      </c>
      <c r="O34" s="37"/>
      <c r="P34" s="31">
        <v>5.0</v>
      </c>
      <c r="Q34" s="31">
        <v>6.0</v>
      </c>
      <c r="R34" s="36"/>
      <c r="S34" s="32">
        <v>9.0</v>
      </c>
      <c r="T34" s="32">
        <v>10.0</v>
      </c>
      <c r="U34" s="37"/>
      <c r="V34" s="31">
        <v>2.0</v>
      </c>
      <c r="W34" s="31">
        <v>6.0</v>
      </c>
      <c r="X34" s="36"/>
      <c r="Y34" s="32">
        <v>1.0</v>
      </c>
      <c r="Z34" s="32">
        <v>5.0</v>
      </c>
      <c r="AA34" s="37"/>
      <c r="AB34" s="33">
        <v>1.0</v>
      </c>
      <c r="AC34" s="33">
        <v>2.0</v>
      </c>
      <c r="AD34" s="40"/>
      <c r="AE34" s="34">
        <v>2.0</v>
      </c>
      <c r="AF34" s="34">
        <v>3.0</v>
      </c>
      <c r="AG34" s="41"/>
      <c r="AH34" s="34">
        <v>2.0</v>
      </c>
      <c r="AI34" s="34">
        <v>2.0</v>
      </c>
      <c r="AJ34" s="41"/>
      <c r="AK34" s="35">
        <v>4.0</v>
      </c>
      <c r="AL34" s="35">
        <v>3.0</v>
      </c>
      <c r="AM34" s="42"/>
      <c r="AN34" s="31">
        <v>4.0</v>
      </c>
      <c r="AO34" s="31">
        <v>6.0</v>
      </c>
      <c r="AP34" s="36"/>
      <c r="AQ34" s="32">
        <v>4.0</v>
      </c>
      <c r="AR34" s="32">
        <v>5.0</v>
      </c>
      <c r="AS34" s="37"/>
    </row>
    <row r="35" ht="15.75" customHeight="1">
      <c r="A35" s="44"/>
      <c r="B35" s="44"/>
      <c r="C35" s="44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</row>
    <row r="36" ht="15.75" customHeight="1">
      <c r="A36" s="45"/>
      <c r="B36" s="45"/>
      <c r="C36" s="45"/>
      <c r="D36" s="36"/>
      <c r="E36" s="36"/>
      <c r="F36" s="36"/>
      <c r="G36" s="37"/>
      <c r="H36" s="37"/>
      <c r="I36" s="37"/>
      <c r="J36" s="36"/>
      <c r="K36" s="36"/>
      <c r="L36" s="36"/>
      <c r="M36" s="37"/>
      <c r="N36" s="37"/>
      <c r="O36" s="37"/>
      <c r="P36" s="36"/>
      <c r="Q36" s="36"/>
      <c r="R36" s="36"/>
      <c r="S36" s="37"/>
      <c r="T36" s="37"/>
      <c r="U36" s="37"/>
      <c r="V36" s="36"/>
      <c r="W36" s="36"/>
      <c r="X36" s="36"/>
      <c r="Y36" s="37"/>
      <c r="Z36" s="37"/>
      <c r="AA36" s="37"/>
      <c r="AB36" s="40"/>
      <c r="AC36" s="40"/>
      <c r="AD36" s="40"/>
      <c r="AE36" s="41"/>
      <c r="AF36" s="41"/>
      <c r="AG36" s="41"/>
      <c r="AH36" s="41"/>
      <c r="AI36" s="41"/>
      <c r="AJ36" s="41"/>
      <c r="AK36" s="42"/>
      <c r="AL36" s="42"/>
      <c r="AM36" s="42"/>
      <c r="AN36" s="36"/>
      <c r="AO36" s="36"/>
      <c r="AP36" s="36"/>
      <c r="AQ36" s="37"/>
      <c r="AR36" s="37"/>
      <c r="AS36" s="37"/>
    </row>
    <row r="37" ht="15.75" customHeight="1">
      <c r="A37" s="44"/>
      <c r="B37" s="44"/>
      <c r="C37" s="44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</row>
    <row r="38" ht="15.75" customHeight="1">
      <c r="A38" s="45"/>
      <c r="B38" s="45"/>
      <c r="C38" s="45"/>
      <c r="D38" s="36"/>
      <c r="E38" s="36"/>
      <c r="F38" s="36"/>
      <c r="G38" s="37"/>
      <c r="H38" s="37"/>
      <c r="I38" s="37"/>
      <c r="J38" s="36"/>
      <c r="K38" s="36"/>
      <c r="L38" s="36"/>
      <c r="M38" s="37"/>
      <c r="N38" s="37"/>
      <c r="O38" s="37"/>
      <c r="P38" s="36"/>
      <c r="Q38" s="36"/>
      <c r="R38" s="36"/>
      <c r="S38" s="37"/>
      <c r="T38" s="37"/>
      <c r="U38" s="37"/>
      <c r="V38" s="36"/>
      <c r="W38" s="36"/>
      <c r="X38" s="36"/>
      <c r="Y38" s="37"/>
      <c r="Z38" s="37"/>
      <c r="AA38" s="37"/>
      <c r="AB38" s="40"/>
      <c r="AC38" s="40"/>
      <c r="AD38" s="40"/>
      <c r="AE38" s="41"/>
      <c r="AF38" s="41"/>
      <c r="AG38" s="41"/>
      <c r="AH38" s="41"/>
      <c r="AI38" s="41"/>
      <c r="AJ38" s="41"/>
      <c r="AK38" s="42"/>
      <c r="AL38" s="42"/>
      <c r="AM38" s="42"/>
      <c r="AN38" s="36"/>
      <c r="AO38" s="36"/>
      <c r="AP38" s="36"/>
      <c r="AQ38" s="37"/>
      <c r="AR38" s="37"/>
      <c r="AS38" s="37"/>
    </row>
    <row r="39" ht="15.75" customHeight="1">
      <c r="A39" s="44"/>
      <c r="B39" s="44"/>
      <c r="C39" s="44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</row>
    <row r="40" ht="15.75" customHeight="1">
      <c r="A40" s="45"/>
      <c r="B40" s="45"/>
      <c r="C40" s="45"/>
      <c r="D40" s="36"/>
      <c r="E40" s="36"/>
      <c r="F40" s="36"/>
      <c r="G40" s="37"/>
      <c r="H40" s="37"/>
      <c r="I40" s="37"/>
      <c r="J40" s="36"/>
      <c r="K40" s="36"/>
      <c r="L40" s="36"/>
      <c r="M40" s="37"/>
      <c r="N40" s="37"/>
      <c r="O40" s="37"/>
      <c r="P40" s="36"/>
      <c r="Q40" s="36"/>
      <c r="R40" s="36"/>
      <c r="S40" s="37"/>
      <c r="T40" s="37"/>
      <c r="U40" s="37"/>
      <c r="V40" s="36"/>
      <c r="W40" s="36"/>
      <c r="X40" s="36"/>
      <c r="Y40" s="37"/>
      <c r="Z40" s="37"/>
      <c r="AA40" s="37"/>
      <c r="AB40" s="40"/>
      <c r="AC40" s="40"/>
      <c r="AD40" s="40"/>
      <c r="AE40" s="41"/>
      <c r="AF40" s="41"/>
      <c r="AG40" s="41"/>
      <c r="AH40" s="41"/>
      <c r="AI40" s="41"/>
      <c r="AJ40" s="41"/>
      <c r="AK40" s="42"/>
      <c r="AL40" s="42"/>
      <c r="AM40" s="42"/>
      <c r="AN40" s="36"/>
      <c r="AO40" s="36"/>
      <c r="AP40" s="36"/>
      <c r="AQ40" s="37"/>
      <c r="AR40" s="37"/>
      <c r="AS40" s="37"/>
    </row>
    <row r="41" ht="15.75" customHeight="1">
      <c r="A41" s="44"/>
      <c r="B41" s="44"/>
      <c r="C41" s="44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</row>
    <row r="42" ht="15.75" customHeight="1">
      <c r="A42" s="45"/>
      <c r="B42" s="45"/>
      <c r="C42" s="45"/>
      <c r="D42" s="36"/>
      <c r="E42" s="36"/>
      <c r="F42" s="36"/>
      <c r="G42" s="37"/>
      <c r="H42" s="37"/>
      <c r="I42" s="37"/>
      <c r="J42" s="36"/>
      <c r="K42" s="36"/>
      <c r="L42" s="36"/>
      <c r="M42" s="37"/>
      <c r="N42" s="37"/>
      <c r="O42" s="37"/>
      <c r="P42" s="36"/>
      <c r="Q42" s="36"/>
      <c r="R42" s="36"/>
      <c r="S42" s="37"/>
      <c r="T42" s="37"/>
      <c r="U42" s="37"/>
      <c r="V42" s="36"/>
      <c r="W42" s="36"/>
      <c r="X42" s="36"/>
      <c r="Y42" s="37"/>
      <c r="Z42" s="37"/>
      <c r="AA42" s="37"/>
      <c r="AB42" s="40"/>
      <c r="AC42" s="40"/>
      <c r="AD42" s="40"/>
      <c r="AE42" s="41"/>
      <c r="AF42" s="41"/>
      <c r="AG42" s="41"/>
      <c r="AH42" s="41"/>
      <c r="AI42" s="41"/>
      <c r="AJ42" s="41"/>
      <c r="AK42" s="42"/>
      <c r="AL42" s="42"/>
      <c r="AM42" s="42"/>
      <c r="AN42" s="36"/>
      <c r="AO42" s="36"/>
      <c r="AP42" s="36"/>
      <c r="AQ42" s="37"/>
      <c r="AR42" s="37"/>
      <c r="AS42" s="37"/>
    </row>
    <row r="43" ht="15.75" customHeight="1">
      <c r="A43" s="44"/>
      <c r="B43" s="44"/>
      <c r="C43" s="44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</row>
    <row r="44" ht="15.75" customHeight="1">
      <c r="A44" s="45"/>
      <c r="B44" s="45"/>
      <c r="C44" s="45"/>
      <c r="D44" s="36"/>
      <c r="E44" s="36"/>
      <c r="F44" s="36"/>
      <c r="G44" s="37"/>
      <c r="H44" s="37"/>
      <c r="I44" s="37"/>
      <c r="J44" s="36"/>
      <c r="K44" s="36"/>
      <c r="L44" s="36"/>
      <c r="M44" s="37"/>
      <c r="N44" s="37"/>
      <c r="O44" s="37"/>
      <c r="P44" s="36"/>
      <c r="Q44" s="36"/>
      <c r="R44" s="36"/>
      <c r="S44" s="37"/>
      <c r="T44" s="37"/>
      <c r="U44" s="37"/>
      <c r="V44" s="36"/>
      <c r="W44" s="36"/>
      <c r="X44" s="36"/>
      <c r="Y44" s="37"/>
      <c r="Z44" s="37"/>
      <c r="AA44" s="37"/>
      <c r="AB44" s="40"/>
      <c r="AC44" s="40"/>
      <c r="AD44" s="40"/>
      <c r="AE44" s="41"/>
      <c r="AF44" s="41"/>
      <c r="AG44" s="41"/>
      <c r="AH44" s="41"/>
      <c r="AI44" s="41"/>
      <c r="AJ44" s="41"/>
      <c r="AK44" s="42"/>
      <c r="AL44" s="42"/>
      <c r="AM44" s="42"/>
      <c r="AN44" s="36"/>
      <c r="AO44" s="36"/>
      <c r="AP44" s="36"/>
      <c r="AQ44" s="37"/>
      <c r="AR44" s="37"/>
      <c r="AS44" s="37"/>
    </row>
    <row r="45" ht="15.75" customHeight="1">
      <c r="A45" s="44"/>
      <c r="B45" s="44"/>
      <c r="C45" s="44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</row>
    <row r="46" ht="15.75" customHeight="1">
      <c r="A46" s="45"/>
      <c r="B46" s="45"/>
      <c r="C46" s="45"/>
      <c r="D46" s="36"/>
      <c r="E46" s="36"/>
      <c r="F46" s="36"/>
      <c r="G46" s="37"/>
      <c r="H46" s="37"/>
      <c r="I46" s="37"/>
      <c r="J46" s="36"/>
      <c r="K46" s="36"/>
      <c r="L46" s="36"/>
      <c r="M46" s="37"/>
      <c r="N46" s="37"/>
      <c r="O46" s="37"/>
      <c r="P46" s="36"/>
      <c r="Q46" s="36"/>
      <c r="R46" s="36"/>
      <c r="S46" s="37"/>
      <c r="T46" s="37"/>
      <c r="U46" s="37"/>
      <c r="V46" s="36"/>
      <c r="W46" s="36"/>
      <c r="X46" s="36"/>
      <c r="Y46" s="37"/>
      <c r="Z46" s="37"/>
      <c r="AA46" s="37"/>
      <c r="AB46" s="40"/>
      <c r="AC46" s="40"/>
      <c r="AD46" s="40"/>
      <c r="AE46" s="41"/>
      <c r="AF46" s="41"/>
      <c r="AG46" s="41"/>
      <c r="AH46" s="41"/>
      <c r="AI46" s="41"/>
      <c r="AJ46" s="41"/>
      <c r="AK46" s="42"/>
      <c r="AL46" s="42"/>
      <c r="AM46" s="42"/>
      <c r="AN46" s="36"/>
      <c r="AO46" s="36"/>
      <c r="AP46" s="36"/>
      <c r="AQ46" s="37"/>
      <c r="AR46" s="37"/>
      <c r="AS46" s="37"/>
    </row>
    <row r="47" ht="15.75" customHeight="1">
      <c r="A47" s="44"/>
      <c r="B47" s="44"/>
      <c r="C47" s="44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</row>
    <row r="48" ht="15.75" customHeight="1">
      <c r="A48" s="45"/>
      <c r="B48" s="45"/>
      <c r="C48" s="45"/>
      <c r="D48" s="36"/>
      <c r="E48" s="36"/>
      <c r="F48" s="36"/>
      <c r="G48" s="37"/>
      <c r="H48" s="37"/>
      <c r="I48" s="37"/>
      <c r="J48" s="36"/>
      <c r="K48" s="36"/>
      <c r="L48" s="36"/>
      <c r="M48" s="37"/>
      <c r="N48" s="37"/>
      <c r="O48" s="37"/>
      <c r="P48" s="36"/>
      <c r="Q48" s="36"/>
      <c r="R48" s="36"/>
      <c r="S48" s="37"/>
      <c r="T48" s="37"/>
      <c r="U48" s="37"/>
      <c r="V48" s="36"/>
      <c r="W48" s="36"/>
      <c r="X48" s="36"/>
      <c r="Y48" s="37"/>
      <c r="Z48" s="37"/>
      <c r="AA48" s="37"/>
      <c r="AB48" s="40"/>
      <c r="AC48" s="40"/>
      <c r="AD48" s="40"/>
      <c r="AE48" s="41"/>
      <c r="AF48" s="41"/>
      <c r="AG48" s="41"/>
      <c r="AH48" s="41"/>
      <c r="AI48" s="41"/>
      <c r="AJ48" s="41"/>
      <c r="AK48" s="42"/>
      <c r="AL48" s="42"/>
      <c r="AM48" s="42"/>
      <c r="AN48" s="36"/>
      <c r="AO48" s="36"/>
      <c r="AP48" s="36"/>
      <c r="AQ48" s="37"/>
      <c r="AR48" s="37"/>
      <c r="AS48" s="37"/>
    </row>
    <row r="49" ht="15.75" customHeight="1">
      <c r="A49" s="44"/>
      <c r="B49" s="44"/>
      <c r="C49" s="44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</row>
    <row r="50" ht="15.75" customHeight="1">
      <c r="A50" s="45"/>
      <c r="B50" s="45"/>
      <c r="C50" s="45"/>
      <c r="D50" s="36"/>
      <c r="E50" s="36"/>
      <c r="F50" s="36"/>
      <c r="G50" s="37"/>
      <c r="H50" s="37"/>
      <c r="I50" s="37"/>
      <c r="J50" s="36"/>
      <c r="K50" s="36"/>
      <c r="L50" s="36"/>
      <c r="M50" s="37"/>
      <c r="N50" s="37"/>
      <c r="O50" s="37"/>
      <c r="P50" s="36"/>
      <c r="Q50" s="36"/>
      <c r="R50" s="36"/>
      <c r="S50" s="37"/>
      <c r="T50" s="37"/>
      <c r="U50" s="37"/>
      <c r="V50" s="36"/>
      <c r="W50" s="36"/>
      <c r="X50" s="36"/>
      <c r="Y50" s="37"/>
      <c r="Z50" s="37"/>
      <c r="AA50" s="37"/>
      <c r="AB50" s="40"/>
      <c r="AC50" s="40"/>
      <c r="AD50" s="40"/>
      <c r="AE50" s="41"/>
      <c r="AF50" s="41"/>
      <c r="AG50" s="41"/>
      <c r="AH50" s="41"/>
      <c r="AI50" s="41"/>
      <c r="AJ50" s="41"/>
      <c r="AK50" s="42"/>
      <c r="AL50" s="42"/>
      <c r="AM50" s="42"/>
      <c r="AN50" s="36"/>
      <c r="AO50" s="36"/>
      <c r="AP50" s="36"/>
      <c r="AQ50" s="37"/>
      <c r="AR50" s="37"/>
      <c r="AS50" s="37"/>
    </row>
    <row r="51" ht="15.75" customHeight="1">
      <c r="A51" s="44"/>
      <c r="B51" s="44"/>
      <c r="C51" s="44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</row>
    <row r="52" ht="15.75" customHeight="1">
      <c r="A52" s="45"/>
      <c r="B52" s="45"/>
      <c r="C52" s="45"/>
      <c r="D52" s="36"/>
      <c r="E52" s="36"/>
      <c r="F52" s="36"/>
      <c r="G52" s="37"/>
      <c r="H52" s="37"/>
      <c r="I52" s="37"/>
      <c r="J52" s="36"/>
      <c r="K52" s="36"/>
      <c r="L52" s="36"/>
      <c r="M52" s="37"/>
      <c r="N52" s="37"/>
      <c r="O52" s="37"/>
      <c r="P52" s="36"/>
      <c r="Q52" s="36"/>
      <c r="R52" s="36"/>
      <c r="S52" s="37"/>
      <c r="T52" s="37"/>
      <c r="U52" s="37"/>
      <c r="V52" s="36"/>
      <c r="W52" s="36"/>
      <c r="X52" s="36"/>
      <c r="Y52" s="37"/>
      <c r="Z52" s="37"/>
      <c r="AA52" s="37"/>
      <c r="AB52" s="40"/>
      <c r="AC52" s="40"/>
      <c r="AD52" s="40"/>
      <c r="AE52" s="41"/>
      <c r="AF52" s="41"/>
      <c r="AG52" s="41"/>
      <c r="AH52" s="41"/>
      <c r="AI52" s="41"/>
      <c r="AJ52" s="41"/>
      <c r="AK52" s="42"/>
      <c r="AL52" s="42"/>
      <c r="AM52" s="42"/>
      <c r="AN52" s="36"/>
      <c r="AO52" s="36"/>
      <c r="AP52" s="36"/>
      <c r="AQ52" s="37"/>
      <c r="AR52" s="37"/>
      <c r="AS52" s="37"/>
    </row>
    <row r="53" ht="15.75" customHeight="1">
      <c r="A53" s="44"/>
      <c r="B53" s="44"/>
      <c r="C53" s="44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</row>
    <row r="54" ht="15.75" customHeight="1">
      <c r="A54" s="45"/>
      <c r="B54" s="45"/>
      <c r="C54" s="45"/>
      <c r="D54" s="36"/>
      <c r="E54" s="36"/>
      <c r="F54" s="36"/>
      <c r="G54" s="37"/>
      <c r="H54" s="37"/>
      <c r="I54" s="37"/>
      <c r="J54" s="36"/>
      <c r="K54" s="36"/>
      <c r="L54" s="36"/>
      <c r="M54" s="37"/>
      <c r="N54" s="37"/>
      <c r="O54" s="37"/>
      <c r="P54" s="36"/>
      <c r="Q54" s="36"/>
      <c r="R54" s="36"/>
      <c r="S54" s="37"/>
      <c r="T54" s="37"/>
      <c r="U54" s="37"/>
      <c r="V54" s="36"/>
      <c r="W54" s="36"/>
      <c r="X54" s="36"/>
      <c r="Y54" s="37"/>
      <c r="Z54" s="37"/>
      <c r="AA54" s="37"/>
      <c r="AB54" s="40"/>
      <c r="AC54" s="40"/>
      <c r="AD54" s="40"/>
      <c r="AE54" s="41"/>
      <c r="AF54" s="41"/>
      <c r="AG54" s="41"/>
      <c r="AH54" s="41"/>
      <c r="AI54" s="41"/>
      <c r="AJ54" s="41"/>
      <c r="AK54" s="42"/>
      <c r="AL54" s="42"/>
      <c r="AM54" s="42"/>
      <c r="AN54" s="36"/>
      <c r="AO54" s="36"/>
      <c r="AP54" s="36"/>
      <c r="AQ54" s="37"/>
      <c r="AR54" s="37"/>
      <c r="AS54" s="37"/>
    </row>
    <row r="55" ht="15.75" customHeight="1">
      <c r="A55" s="44"/>
      <c r="B55" s="44"/>
      <c r="C55" s="44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V5:X5"/>
    <mergeCell ref="Y5:AA5"/>
    <mergeCell ref="AB5:AD5"/>
    <mergeCell ref="AE5:AG5"/>
    <mergeCell ref="AH5:AJ5"/>
    <mergeCell ref="AK5:AM5"/>
    <mergeCell ref="AN5:AP5"/>
    <mergeCell ref="AQ5:AS5"/>
    <mergeCell ref="A5:C5"/>
    <mergeCell ref="D5:F5"/>
    <mergeCell ref="G5:I5"/>
    <mergeCell ref="J5:L5"/>
    <mergeCell ref="M5:O5"/>
    <mergeCell ref="P5:R5"/>
    <mergeCell ref="S5:U5"/>
    <mergeCell ref="AB2:AD2"/>
    <mergeCell ref="AE2:AG2"/>
    <mergeCell ref="AH2:AJ2"/>
    <mergeCell ref="AK2:AM2"/>
    <mergeCell ref="AN2:AP2"/>
    <mergeCell ref="AQ2:AS2"/>
    <mergeCell ref="A1:AS1"/>
    <mergeCell ref="D2:F2"/>
    <mergeCell ref="G2:I2"/>
    <mergeCell ref="J2:L2"/>
    <mergeCell ref="M2:O2"/>
    <mergeCell ref="P2:R2"/>
    <mergeCell ref="S2:U2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V2:X2"/>
    <mergeCell ref="Y2:AA2"/>
    <mergeCell ref="A4:C4"/>
    <mergeCell ref="D4:F4"/>
    <mergeCell ref="G4:I4"/>
    <mergeCell ref="J4:L4"/>
    <mergeCell ref="M4:O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22.0"/>
    <col customWidth="1" min="2" max="2" width="42.0"/>
    <col customWidth="1" min="3" max="3" width="36.0"/>
    <col customWidth="1" min="4" max="8" width="16.0"/>
    <col customWidth="1" min="9" max="26" width="8.71"/>
  </cols>
  <sheetData>
    <row r="1" ht="27.75" customHeight="1">
      <c r="A1" s="46" t="s">
        <v>73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7.75" customHeight="1">
      <c r="A2" s="47" t="s">
        <v>74</v>
      </c>
      <c r="B2" s="47" t="s">
        <v>75</v>
      </c>
      <c r="C2" s="47" t="s">
        <v>76</v>
      </c>
      <c r="D2" s="48" t="s">
        <v>77</v>
      </c>
      <c r="E2" s="49" t="s">
        <v>78</v>
      </c>
      <c r="F2" s="50" t="s">
        <v>79</v>
      </c>
      <c r="G2" s="51" t="s">
        <v>80</v>
      </c>
      <c r="H2" s="51" t="s">
        <v>81</v>
      </c>
    </row>
    <row r="3" ht="24.0" customHeight="1">
      <c r="A3" s="18" t="s">
        <v>82</v>
      </c>
      <c r="B3" s="6"/>
      <c r="C3" s="6"/>
      <c r="D3" s="6"/>
      <c r="E3" s="6"/>
      <c r="F3" s="6"/>
      <c r="G3" s="6"/>
      <c r="H3" s="19"/>
    </row>
    <row r="4">
      <c r="A4" s="52" t="s">
        <v>4</v>
      </c>
      <c r="B4" s="53" t="s">
        <v>28</v>
      </c>
      <c r="C4" s="54" t="s">
        <v>22</v>
      </c>
      <c r="D4" s="55">
        <f>IFERROR(AVERAGEIF('Data Entry'!D6:D55,"&lt;&gt;",'Data Entry'!D6:D55),"–")</f>
        <v>3.275862069</v>
      </c>
      <c r="E4" s="55">
        <f>IFERROR(AVERAGEIF('Data Entry'!E6:E55,"&lt;&gt;",'Data Entry'!E6:E55),"–")</f>
        <v>6.551724138</v>
      </c>
      <c r="F4" s="55">
        <f>IFERROR(AVERAGEIF('Data Entry'!F6:F55,"&lt;&gt;",'Data Entry'!F6:F55),"–")</f>
        <v>8.157894737</v>
      </c>
      <c r="G4" s="55">
        <f t="shared" ref="G4:G17" si="1">IFERROR(E4-D4,"–")</f>
        <v>3.275862069</v>
      </c>
      <c r="H4" s="55">
        <f t="shared" ref="H4:H17" si="2">IFERROR(F4-D4,"–")</f>
        <v>4.882032668</v>
      </c>
    </row>
    <row r="5">
      <c r="A5" s="56" t="s">
        <v>5</v>
      </c>
      <c r="B5" s="57" t="s">
        <v>29</v>
      </c>
      <c r="C5" s="58" t="s">
        <v>22</v>
      </c>
      <c r="D5" s="59">
        <f>IFERROR(AVERAGEIF('Data Entry'!G6:G55,"&lt;&gt;",'Data Entry'!G6:G55),"–")</f>
        <v>3.379310345</v>
      </c>
      <c r="E5" s="59">
        <f>IFERROR(AVERAGEIF('Data Entry'!H6:H55,"&lt;&gt;",'Data Entry'!H6:H55),"–")</f>
        <v>7.137931034</v>
      </c>
      <c r="F5" s="59">
        <f>IFERROR(AVERAGEIF('Data Entry'!I6:I55,"&lt;&gt;",'Data Entry'!I6:I55),"–")</f>
        <v>8.421052632</v>
      </c>
      <c r="G5" s="59">
        <f t="shared" si="1"/>
        <v>3.75862069</v>
      </c>
      <c r="H5" s="59">
        <f t="shared" si="2"/>
        <v>5.041742287</v>
      </c>
    </row>
    <row r="6">
      <c r="A6" s="52" t="s">
        <v>6</v>
      </c>
      <c r="B6" s="53" t="s">
        <v>30</v>
      </c>
      <c r="C6" s="54" t="s">
        <v>22</v>
      </c>
      <c r="D6" s="55">
        <f>IFERROR(AVERAGEIF('Data Entry'!J6:J55,"&lt;&gt;",'Data Entry'!J6:J55),"–")</f>
        <v>4.448275862</v>
      </c>
      <c r="E6" s="55">
        <f>IFERROR(AVERAGEIF('Data Entry'!K6:K55,"&lt;&gt;",'Data Entry'!K6:K55),"–")</f>
        <v>6.206896552</v>
      </c>
      <c r="F6" s="55">
        <f>IFERROR(AVERAGEIF('Data Entry'!L6:L55,"&lt;&gt;",'Data Entry'!L6:L55),"–")</f>
        <v>7.421052632</v>
      </c>
      <c r="G6" s="55">
        <f t="shared" si="1"/>
        <v>1.75862069</v>
      </c>
      <c r="H6" s="55">
        <f t="shared" si="2"/>
        <v>2.97277677</v>
      </c>
    </row>
    <row r="7">
      <c r="A7" s="56" t="s">
        <v>7</v>
      </c>
      <c r="B7" s="57" t="s">
        <v>31</v>
      </c>
      <c r="C7" s="58" t="s">
        <v>22</v>
      </c>
      <c r="D7" s="59">
        <f>IFERROR(AVERAGEIF('Data Entry'!M6:M55,"&lt;&gt;",'Data Entry'!M6:M55),"–")</f>
        <v>3.24137931</v>
      </c>
      <c r="E7" s="59">
        <f>IFERROR(AVERAGEIF('Data Entry'!N6:N55,"&lt;&gt;",'Data Entry'!N6:N55),"–")</f>
        <v>7.310344828</v>
      </c>
      <c r="F7" s="59">
        <f>IFERROR(AVERAGEIF('Data Entry'!O6:O55,"&lt;&gt;",'Data Entry'!O6:O55),"–")</f>
        <v>8.736842105</v>
      </c>
      <c r="G7" s="59">
        <f t="shared" si="1"/>
        <v>4.068965517</v>
      </c>
      <c r="H7" s="59">
        <f t="shared" si="2"/>
        <v>5.495462795</v>
      </c>
    </row>
    <row r="8">
      <c r="A8" s="52" t="s">
        <v>8</v>
      </c>
      <c r="B8" s="53" t="s">
        <v>32</v>
      </c>
      <c r="C8" s="54" t="s">
        <v>22</v>
      </c>
      <c r="D8" s="55">
        <f>IFERROR(AVERAGEIF('Data Entry'!P6:P55,"&lt;&gt;",'Data Entry'!P6:P55),"–")</f>
        <v>3.931034483</v>
      </c>
      <c r="E8" s="55">
        <f>IFERROR(AVERAGEIF('Data Entry'!Q6:Q55,"&lt;&gt;",'Data Entry'!Q6:Q55),"–")</f>
        <v>7.068965517</v>
      </c>
      <c r="F8" s="55">
        <f>IFERROR(AVERAGEIF('Data Entry'!R6:R55,"&lt;&gt;",'Data Entry'!R6:R55),"–")</f>
        <v>8.421052632</v>
      </c>
      <c r="G8" s="55">
        <f t="shared" si="1"/>
        <v>3.137931034</v>
      </c>
      <c r="H8" s="55">
        <f t="shared" si="2"/>
        <v>4.490018149</v>
      </c>
    </row>
    <row r="9">
      <c r="A9" s="56" t="s">
        <v>9</v>
      </c>
      <c r="B9" s="57" t="s">
        <v>33</v>
      </c>
      <c r="C9" s="58" t="s">
        <v>22</v>
      </c>
      <c r="D9" s="59">
        <f>IFERROR(AVERAGEIF('Data Entry'!S6:S55,"&lt;&gt;",'Data Entry'!S6:S55),"–")</f>
        <v>4.862068966</v>
      </c>
      <c r="E9" s="59">
        <f>IFERROR(AVERAGEIF('Data Entry'!T6:T55,"&lt;&gt;",'Data Entry'!T6:T55),"–")</f>
        <v>7.655172414</v>
      </c>
      <c r="F9" s="59">
        <f>IFERROR(AVERAGEIF('Data Entry'!U6:U55,"&lt;&gt;",'Data Entry'!U6:U55),"–")</f>
        <v>8.263157895</v>
      </c>
      <c r="G9" s="59">
        <f t="shared" si="1"/>
        <v>2.793103448</v>
      </c>
      <c r="H9" s="59">
        <f t="shared" si="2"/>
        <v>3.401088929</v>
      </c>
    </row>
    <row r="10">
      <c r="A10" s="52" t="s">
        <v>10</v>
      </c>
      <c r="B10" s="53" t="s">
        <v>34</v>
      </c>
      <c r="C10" s="54" t="s">
        <v>22</v>
      </c>
      <c r="D10" s="55">
        <f>IFERROR(AVERAGEIF('Data Entry'!V6:V55,"&lt;&gt;",'Data Entry'!V6:V55),"–")</f>
        <v>3.275862069</v>
      </c>
      <c r="E10" s="55">
        <f>IFERROR(AVERAGEIF('Data Entry'!W6:W55,"&lt;&gt;",'Data Entry'!W6:W55),"–")</f>
        <v>6.827586207</v>
      </c>
      <c r="F10" s="55">
        <f>IFERROR(AVERAGEIF('Data Entry'!X6:X55,"&lt;&gt;",'Data Entry'!X6:X55),"–")</f>
        <v>8.105263158</v>
      </c>
      <c r="G10" s="55">
        <f t="shared" si="1"/>
        <v>3.551724138</v>
      </c>
      <c r="H10" s="55">
        <f t="shared" si="2"/>
        <v>4.829401089</v>
      </c>
    </row>
    <row r="11">
      <c r="A11" s="56" t="s">
        <v>11</v>
      </c>
      <c r="B11" s="57" t="s">
        <v>35</v>
      </c>
      <c r="C11" s="58" t="s">
        <v>22</v>
      </c>
      <c r="D11" s="59">
        <f>IFERROR(AVERAGEIF('Data Entry'!Y6:Y55,"&lt;&gt;",'Data Entry'!Y6:Y55),"–")</f>
        <v>2.034482759</v>
      </c>
      <c r="E11" s="59">
        <f>IFERROR(AVERAGEIF('Data Entry'!Z6:Z55,"&lt;&gt;",'Data Entry'!Z6:Z55),"–")</f>
        <v>6.517241379</v>
      </c>
      <c r="F11" s="59">
        <f>IFERROR(AVERAGEIF('Data Entry'!AA6:AA55,"&lt;&gt;",'Data Entry'!AA6:AA55),"–")</f>
        <v>8.157894737</v>
      </c>
      <c r="G11" s="59">
        <f t="shared" si="1"/>
        <v>4.482758621</v>
      </c>
      <c r="H11" s="59">
        <f t="shared" si="2"/>
        <v>6.123411978</v>
      </c>
    </row>
    <row r="12">
      <c r="A12" s="52" t="s">
        <v>12</v>
      </c>
      <c r="B12" s="53" t="s">
        <v>36</v>
      </c>
      <c r="C12" s="54" t="s">
        <v>23</v>
      </c>
      <c r="D12" s="55">
        <f>IFERROR(AVERAGEIF('Data Entry'!AB6:AB55,"&lt;&gt;",'Data Entry'!AB6:AB55),"–")</f>
        <v>1.275862069</v>
      </c>
      <c r="E12" s="55">
        <f>IFERROR(AVERAGEIF('Data Entry'!AC6:AC55,"&lt;&gt;",'Data Entry'!AC6:AC55),"–")</f>
        <v>2.586206897</v>
      </c>
      <c r="F12" s="55">
        <f>IFERROR(AVERAGEIF('Data Entry'!AD6:AD55,"&lt;&gt;",'Data Entry'!AD6:AD55),"–")</f>
        <v>3.578947368</v>
      </c>
      <c r="G12" s="55">
        <f t="shared" si="1"/>
        <v>1.310344828</v>
      </c>
      <c r="H12" s="55">
        <f t="shared" si="2"/>
        <v>2.303085299</v>
      </c>
    </row>
    <row r="13">
      <c r="A13" s="56" t="s">
        <v>13</v>
      </c>
      <c r="B13" s="57" t="s">
        <v>37</v>
      </c>
      <c r="C13" s="58" t="s">
        <v>24</v>
      </c>
      <c r="D13" s="59">
        <f>IFERROR(AVERAGEIF('Data Entry'!AE6:AE55,"&lt;&gt;",'Data Entry'!AE6:AE55),"–")</f>
        <v>1.965517241</v>
      </c>
      <c r="E13" s="59">
        <f>IFERROR(AVERAGEIF('Data Entry'!AF6:AF55,"&lt;&gt;",'Data Entry'!AF6:AF55),"–")</f>
        <v>3.137931034</v>
      </c>
      <c r="F13" s="59">
        <f>IFERROR(AVERAGEIF('Data Entry'!AG6:AG55,"&lt;&gt;",'Data Entry'!AG6:AG55),"–")</f>
        <v>4</v>
      </c>
      <c r="G13" s="59">
        <f t="shared" si="1"/>
        <v>1.172413793</v>
      </c>
      <c r="H13" s="59">
        <f t="shared" si="2"/>
        <v>2.034482759</v>
      </c>
    </row>
    <row r="14">
      <c r="A14" s="52" t="s">
        <v>14</v>
      </c>
      <c r="B14" s="53" t="s">
        <v>38</v>
      </c>
      <c r="C14" s="54" t="s">
        <v>25</v>
      </c>
      <c r="D14" s="55">
        <f>IFERROR(AVERAGEIF('Data Entry'!AH6:AH55,"&lt;&gt;",'Data Entry'!AH6:AH55),"–")</f>
        <v>2.517241379</v>
      </c>
      <c r="E14" s="55">
        <f>IFERROR(AVERAGEIF('Data Entry'!AI6:AI55,"&lt;&gt;",'Data Entry'!AI6:AI55),"–")</f>
        <v>3.655172414</v>
      </c>
      <c r="F14" s="55">
        <f>IFERROR(AVERAGEIF('Data Entry'!AJ6:AJ55,"&lt;&gt;",'Data Entry'!AJ6:AJ55),"–")</f>
        <v>4.105263158</v>
      </c>
      <c r="G14" s="55">
        <f t="shared" si="1"/>
        <v>1.137931034</v>
      </c>
      <c r="H14" s="55">
        <f t="shared" si="2"/>
        <v>1.588021779</v>
      </c>
    </row>
    <row r="15">
      <c r="A15" s="56" t="s">
        <v>15</v>
      </c>
      <c r="B15" s="57" t="s">
        <v>39</v>
      </c>
      <c r="C15" s="58" t="s">
        <v>26</v>
      </c>
      <c r="D15" s="59">
        <f>IFERROR(AVERAGEIF('Data Entry'!AK6:AK55,"&lt;&gt;",'Data Entry'!AK6:AK55),"–")</f>
        <v>2.310344828</v>
      </c>
      <c r="E15" s="59">
        <f>IFERROR(AVERAGEIF('Data Entry'!AL6:AL55,"&lt;&gt;",'Data Entry'!AL6:AL55),"–")</f>
        <v>3.896551724</v>
      </c>
      <c r="F15" s="59">
        <f>IFERROR(AVERAGEIF('Data Entry'!AM6:AM55,"&lt;&gt;",'Data Entry'!AM6:AM55),"–")</f>
        <v>4.736842105</v>
      </c>
      <c r="G15" s="59">
        <f t="shared" si="1"/>
        <v>1.586206897</v>
      </c>
      <c r="H15" s="59">
        <f t="shared" si="2"/>
        <v>2.426497278</v>
      </c>
    </row>
    <row r="16">
      <c r="A16" s="52" t="s">
        <v>16</v>
      </c>
      <c r="B16" s="53" t="s">
        <v>40</v>
      </c>
      <c r="C16" s="54" t="s">
        <v>22</v>
      </c>
      <c r="D16" s="55">
        <f>IFERROR(AVERAGEIF('Data Entry'!AN6:AN55,"&lt;&gt;",'Data Entry'!AN6:AN55),"–")</f>
        <v>4.25</v>
      </c>
      <c r="E16" s="55">
        <f>IFERROR(AVERAGEIF('Data Entry'!AO6:AO55,"&lt;&gt;",'Data Entry'!AO6:AO55),"–")</f>
        <v>6.964285714</v>
      </c>
      <c r="F16" s="55">
        <f>IFERROR(AVERAGEIF('Data Entry'!AP6:AP55,"&lt;&gt;",'Data Entry'!AP6:AP55),"–")</f>
        <v>8.470588235</v>
      </c>
      <c r="G16" s="55">
        <f t="shared" si="1"/>
        <v>2.714285714</v>
      </c>
      <c r="H16" s="55">
        <f t="shared" si="2"/>
        <v>4.220588235</v>
      </c>
    </row>
    <row r="17">
      <c r="A17" s="56" t="s">
        <v>17</v>
      </c>
      <c r="B17" s="57" t="s">
        <v>41</v>
      </c>
      <c r="C17" s="58" t="s">
        <v>22</v>
      </c>
      <c r="D17" s="59">
        <f>IFERROR(AVERAGEIF('Data Entry'!AQ6:AQ55,"&lt;&gt;",'Data Entry'!AQ6:AQ55),"–")</f>
        <v>4.678571429</v>
      </c>
      <c r="E17" s="59">
        <f>IFERROR(AVERAGEIF('Data Entry'!AR6:AR55,"&lt;&gt;",'Data Entry'!AR6:AR55),"–")</f>
        <v>7.142857143</v>
      </c>
      <c r="F17" s="59">
        <f>IFERROR(AVERAGEIF('Data Entry'!AS6:AS55,"&lt;&gt;",'Data Entry'!AS6:AS55),"–")</f>
        <v>8.529411765</v>
      </c>
      <c r="G17" s="59">
        <f t="shared" si="1"/>
        <v>2.464285714</v>
      </c>
      <c r="H17" s="59">
        <f t="shared" si="2"/>
        <v>3.850840336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3:H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70.0"/>
    <col customWidth="1" min="3" max="26" width="8.71"/>
  </cols>
  <sheetData>
    <row r="1" ht="27.75" customHeight="1">
      <c r="A1" s="46" t="s">
        <v>83</v>
      </c>
      <c r="B1" s="2"/>
      <c r="C1" s="2"/>
      <c r="D1" s="3"/>
    </row>
    <row r="2" ht="36.0" customHeight="1">
      <c r="A2" s="60" t="s">
        <v>84</v>
      </c>
      <c r="B2" s="61" t="s">
        <v>85</v>
      </c>
    </row>
    <row r="3" ht="36.0" customHeight="1">
      <c r="A3" s="62" t="s">
        <v>3</v>
      </c>
      <c r="B3" s="63" t="s">
        <v>86</v>
      </c>
    </row>
    <row r="4" ht="36.0" customHeight="1">
      <c r="A4" s="60" t="s">
        <v>87</v>
      </c>
      <c r="B4" s="61" t="s">
        <v>88</v>
      </c>
    </row>
    <row r="5" ht="36.0" customHeight="1">
      <c r="A5" s="62" t="s">
        <v>89</v>
      </c>
      <c r="B5" s="63" t="s">
        <v>90</v>
      </c>
    </row>
    <row r="6" ht="36.0" customHeight="1">
      <c r="A6" s="60" t="s">
        <v>12</v>
      </c>
      <c r="B6" s="61" t="s">
        <v>91</v>
      </c>
    </row>
    <row r="7" ht="36.0" customHeight="1">
      <c r="A7" s="62" t="s">
        <v>92</v>
      </c>
      <c r="B7" s="63" t="s">
        <v>93</v>
      </c>
    </row>
    <row r="8" ht="36.0" customHeight="1">
      <c r="A8" s="60" t="s">
        <v>15</v>
      </c>
      <c r="B8" s="61" t="s">
        <v>94</v>
      </c>
    </row>
    <row r="9" ht="36.0" customHeight="1">
      <c r="A9" s="62" t="s">
        <v>95</v>
      </c>
      <c r="B9" s="63" t="s">
        <v>96</v>
      </c>
    </row>
    <row r="10" ht="36.0" customHeight="1">
      <c r="A10" s="60" t="s">
        <v>97</v>
      </c>
      <c r="B10" s="61" t="s">
        <v>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hidden="1" min="2" max="2" width="22.0"/>
    <col customWidth="1" min="3" max="3" width="18.71"/>
  </cols>
  <sheetData>
    <row r="1">
      <c r="A1" s="64" t="s">
        <v>99</v>
      </c>
      <c r="B1" s="64" t="s">
        <v>100</v>
      </c>
      <c r="C1" s="65" t="s">
        <v>101</v>
      </c>
      <c r="D1" s="65" t="s">
        <v>102</v>
      </c>
      <c r="E1" s="65" t="s">
        <v>103</v>
      </c>
      <c r="F1" s="65" t="s">
        <v>102</v>
      </c>
    </row>
    <row r="2">
      <c r="A2" s="30">
        <v>23.0</v>
      </c>
      <c r="B2" s="30" t="s">
        <v>42</v>
      </c>
      <c r="C2" s="65">
        <v>1.0</v>
      </c>
      <c r="D2" s="65">
        <v>1.0</v>
      </c>
      <c r="E2" s="65" t="s">
        <v>54</v>
      </c>
      <c r="F2" s="65" t="s">
        <v>54</v>
      </c>
    </row>
    <row r="3">
      <c r="A3" s="38">
        <v>23.0</v>
      </c>
      <c r="B3" s="38" t="s">
        <v>44</v>
      </c>
      <c r="C3" s="65">
        <v>1.0</v>
      </c>
      <c r="E3" s="65">
        <v>1.0</v>
      </c>
      <c r="F3" s="65">
        <v>1.0</v>
      </c>
    </row>
    <row r="4">
      <c r="A4" s="30">
        <v>23.0</v>
      </c>
      <c r="B4" s="30" t="s">
        <v>45</v>
      </c>
      <c r="C4" s="65">
        <v>1.0</v>
      </c>
      <c r="D4" s="65">
        <v>1.0</v>
      </c>
    </row>
    <row r="5">
      <c r="A5" s="38">
        <v>23.0</v>
      </c>
      <c r="B5" s="38" t="s">
        <v>46</v>
      </c>
      <c r="C5" s="65">
        <v>1.0</v>
      </c>
      <c r="D5" s="65">
        <v>1.0</v>
      </c>
    </row>
    <row r="6">
      <c r="A6" s="30">
        <v>23.0</v>
      </c>
      <c r="B6" s="30" t="s">
        <v>47</v>
      </c>
      <c r="C6" s="65">
        <v>1.0</v>
      </c>
      <c r="D6" s="65">
        <v>1.0</v>
      </c>
    </row>
    <row r="7">
      <c r="A7" s="38">
        <v>23.0</v>
      </c>
      <c r="B7" s="38" t="s">
        <v>104</v>
      </c>
      <c r="C7" s="65" t="s">
        <v>54</v>
      </c>
    </row>
    <row r="8">
      <c r="A8" s="38">
        <v>23.0</v>
      </c>
      <c r="B8" s="38" t="s">
        <v>48</v>
      </c>
      <c r="C8" s="65">
        <v>1.0</v>
      </c>
      <c r="E8" s="65">
        <v>1.0</v>
      </c>
    </row>
    <row r="9">
      <c r="A9" s="38">
        <v>23.0</v>
      </c>
      <c r="B9" s="38" t="s">
        <v>105</v>
      </c>
      <c r="C9" s="65" t="s">
        <v>54</v>
      </c>
    </row>
    <row r="10">
      <c r="A10" s="38">
        <v>24.0</v>
      </c>
      <c r="B10" s="38" t="s">
        <v>49</v>
      </c>
      <c r="C10" s="65">
        <v>1.0</v>
      </c>
      <c r="E10" s="65">
        <v>1.0</v>
      </c>
    </row>
    <row r="11">
      <c r="A11" s="38">
        <v>24.0</v>
      </c>
      <c r="B11" s="38" t="s">
        <v>106</v>
      </c>
      <c r="C11" s="65" t="s">
        <v>54</v>
      </c>
    </row>
    <row r="12">
      <c r="A12" s="30">
        <v>24.0</v>
      </c>
      <c r="B12" s="30" t="s">
        <v>50</v>
      </c>
      <c r="C12" s="65">
        <v>1.0</v>
      </c>
      <c r="D12" s="65">
        <v>1.0</v>
      </c>
    </row>
    <row r="13">
      <c r="A13" s="30">
        <v>24.0</v>
      </c>
      <c r="B13" s="30" t="s">
        <v>107</v>
      </c>
      <c r="C13" s="65" t="s">
        <v>54</v>
      </c>
    </row>
    <row r="14">
      <c r="A14" s="38">
        <v>24.0</v>
      </c>
      <c r="B14" s="38" t="s">
        <v>52</v>
      </c>
      <c r="C14" s="65">
        <v>1.0</v>
      </c>
      <c r="D14" s="65">
        <v>1.0</v>
      </c>
    </row>
    <row r="15">
      <c r="A15" s="38">
        <v>24.0</v>
      </c>
      <c r="B15" s="38" t="s">
        <v>108</v>
      </c>
      <c r="C15" s="65">
        <v>1.0</v>
      </c>
      <c r="D15" s="65">
        <v>1.0</v>
      </c>
    </row>
    <row r="16">
      <c r="A16" s="30">
        <v>24.0</v>
      </c>
      <c r="B16" s="30" t="s">
        <v>109</v>
      </c>
      <c r="C16" s="65" t="s">
        <v>54</v>
      </c>
    </row>
    <row r="17">
      <c r="A17" s="30">
        <v>24.0</v>
      </c>
      <c r="B17" s="30" t="s">
        <v>51</v>
      </c>
      <c r="C17" s="65">
        <v>1.0</v>
      </c>
    </row>
    <row r="18">
      <c r="A18" s="30">
        <v>24.0</v>
      </c>
      <c r="B18" s="30" t="s">
        <v>53</v>
      </c>
      <c r="C18" s="65">
        <v>1.0</v>
      </c>
      <c r="D18" s="65">
        <v>1.0</v>
      </c>
    </row>
    <row r="19">
      <c r="A19" s="38">
        <v>24.0</v>
      </c>
      <c r="B19" s="38" t="s">
        <v>55</v>
      </c>
      <c r="C19" s="65">
        <v>1.0</v>
      </c>
    </row>
    <row r="20">
      <c r="A20" s="30">
        <v>24.0</v>
      </c>
      <c r="B20" s="30" t="s">
        <v>56</v>
      </c>
      <c r="C20" s="65">
        <v>1.0</v>
      </c>
      <c r="D20" s="65">
        <v>1.0</v>
      </c>
    </row>
    <row r="21">
      <c r="A21" s="38">
        <v>25.0</v>
      </c>
      <c r="B21" s="38" t="s">
        <v>57</v>
      </c>
      <c r="C21" s="65">
        <v>1.0</v>
      </c>
      <c r="D21" s="65">
        <v>1.0</v>
      </c>
    </row>
    <row r="22">
      <c r="A22" s="30">
        <v>25.0</v>
      </c>
      <c r="B22" s="30" t="s">
        <v>58</v>
      </c>
      <c r="C22" s="65">
        <v>1.0</v>
      </c>
      <c r="E22" s="65">
        <v>1.0</v>
      </c>
    </row>
    <row r="23">
      <c r="A23" s="38">
        <v>25.0</v>
      </c>
      <c r="B23" s="38" t="s">
        <v>110</v>
      </c>
      <c r="C23" s="65" t="s">
        <v>54</v>
      </c>
      <c r="E23" s="65"/>
    </row>
    <row r="24">
      <c r="A24" s="38">
        <v>25.0</v>
      </c>
      <c r="B24" s="38" t="s">
        <v>111</v>
      </c>
      <c r="C24" s="65" t="s">
        <v>54</v>
      </c>
      <c r="E24" s="65"/>
    </row>
    <row r="25">
      <c r="A25" s="38">
        <v>25.0</v>
      </c>
      <c r="B25" s="38" t="s">
        <v>112</v>
      </c>
      <c r="C25" s="65" t="s">
        <v>54</v>
      </c>
      <c r="E25" s="65"/>
    </row>
    <row r="26">
      <c r="A26" s="38">
        <v>25.0</v>
      </c>
      <c r="B26" s="38" t="s">
        <v>113</v>
      </c>
      <c r="C26" s="65" t="s">
        <v>54</v>
      </c>
      <c r="E26" s="65"/>
    </row>
    <row r="27">
      <c r="A27" s="38">
        <v>25.0</v>
      </c>
      <c r="B27" s="38" t="s">
        <v>59</v>
      </c>
      <c r="C27" s="65">
        <v>1.0</v>
      </c>
      <c r="E27" s="65">
        <v>1.0</v>
      </c>
    </row>
    <row r="28">
      <c r="A28" s="30">
        <v>25.0</v>
      </c>
      <c r="B28" s="30" t="s">
        <v>60</v>
      </c>
      <c r="C28" s="65">
        <v>1.0</v>
      </c>
    </row>
    <row r="29">
      <c r="A29" s="38">
        <v>25.0</v>
      </c>
      <c r="B29" s="38" t="s">
        <v>61</v>
      </c>
      <c r="C29" s="65">
        <v>1.0</v>
      </c>
    </row>
    <row r="30">
      <c r="A30" s="30">
        <v>25.0</v>
      </c>
      <c r="B30" s="30" t="s">
        <v>62</v>
      </c>
      <c r="C30" s="65">
        <v>1.0</v>
      </c>
      <c r="E30" s="65">
        <v>1.0</v>
      </c>
      <c r="F30" s="65">
        <v>1.0</v>
      </c>
    </row>
    <row r="31">
      <c r="A31" s="38">
        <v>25.0</v>
      </c>
      <c r="B31" s="38" t="s">
        <v>63</v>
      </c>
      <c r="C31" s="65">
        <v>1.0</v>
      </c>
    </row>
    <row r="32">
      <c r="A32" s="30">
        <v>26.0</v>
      </c>
      <c r="B32" s="30" t="s">
        <v>64</v>
      </c>
    </row>
    <row r="33">
      <c r="A33" s="38">
        <v>26.0</v>
      </c>
      <c r="B33" s="38" t="s">
        <v>65</v>
      </c>
    </row>
    <row r="34">
      <c r="A34" s="38">
        <v>26.0</v>
      </c>
      <c r="B34" s="30" t="s">
        <v>66</v>
      </c>
    </row>
    <row r="35">
      <c r="A35" s="38">
        <v>26.0</v>
      </c>
      <c r="B35" s="38" t="s">
        <v>67</v>
      </c>
    </row>
    <row r="36">
      <c r="A36" s="38">
        <v>26.0</v>
      </c>
      <c r="B36" s="30" t="s">
        <v>68</v>
      </c>
    </row>
    <row r="37">
      <c r="A37" s="38">
        <v>26.0</v>
      </c>
      <c r="B37" s="38" t="s">
        <v>69</v>
      </c>
    </row>
    <row r="38">
      <c r="A38" s="38">
        <v>26.0</v>
      </c>
      <c r="B38" s="30" t="s">
        <v>70</v>
      </c>
    </row>
    <row r="39">
      <c r="A39" s="38">
        <v>26.0</v>
      </c>
      <c r="B39" s="38" t="s">
        <v>71</v>
      </c>
    </row>
    <row r="40">
      <c r="A40" s="38">
        <v>26.0</v>
      </c>
      <c r="B40" s="30" t="s">
        <v>114</v>
      </c>
      <c r="C40" s="65" t="s">
        <v>54</v>
      </c>
    </row>
    <row r="41">
      <c r="A41" s="38">
        <v>26.0</v>
      </c>
      <c r="B41" s="30" t="s">
        <v>115</v>
      </c>
      <c r="C41" s="65" t="s">
        <v>54</v>
      </c>
    </row>
    <row r="42">
      <c r="A42" s="38">
        <v>26.0</v>
      </c>
      <c r="B42" s="30" t="s">
        <v>116</v>
      </c>
      <c r="C42" s="65" t="s">
        <v>54</v>
      </c>
    </row>
    <row r="43">
      <c r="A43" s="38">
        <v>26.0</v>
      </c>
      <c r="B43" s="30" t="s">
        <v>72</v>
      </c>
    </row>
  </sheetData>
  <drawing r:id="rId1"/>
</worksheet>
</file>